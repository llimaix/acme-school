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  <sheet state="visible" name="Matriz Trabajo" sheetId="2" r:id="rId5"/>
    <sheet state="visible" name="RACI" sheetId="3" r:id="rId6"/>
    <sheet state="visible" name="Checklist Entrega" sheetId="4" r:id="rId7"/>
    <sheet state="visible" name="Notas Técnicas" sheetId="5" r:id="rId8"/>
    <sheet state="visible" name="Listas" sheetId="6" r:id="rId9"/>
  </sheets>
  <definedNames/>
  <calcPr/>
  <extLst>
    <ext uri="GoogleSheetsCustomDataVersion2">
      <go:sheetsCustomData xmlns:go="http://customooxmlschemas.google.com/" r:id="rId10" roundtripDataChecksum="ak2xu+jR9kUOLnJLT1hx99zB75Ckyidl7dUDlSFuqAU="/>
    </ext>
  </extLst>
</workbook>
</file>

<file path=xl/sharedStrings.xml><?xml version="1.0" encoding="utf-8"?>
<sst xmlns="http://schemas.openxmlformats.org/spreadsheetml/2006/main" count="1090" uniqueCount="451">
  <si>
    <t>Matriz de Trabajo - Proyecto Final Bases de Datos II</t>
  </si>
  <si>
    <t>Fuente</t>
  </si>
  <si>
    <t>INSTRUCCIONES PROYECTO FINAL - DB II-1.pdf</t>
  </si>
  <si>
    <t>Tema definido</t>
  </si>
  <si>
    <t>Educación - Sistema de Gestión Académica</t>
  </si>
  <si>
    <t>Base de datos</t>
  </si>
  <si>
    <t>Oracle Database Free/XE - PL/SQL</t>
  </si>
  <si>
    <t>Stack opcional</t>
  </si>
  <si>
    <t>Node.js + React para demo visual</t>
  </si>
  <si>
    <t>Decisión técnica</t>
  </si>
  <si>
    <t>Usar PL/SQL nativo: procedures, functions, packages, triggers, exceptions y transactions</t>
  </si>
  <si>
    <t>Riesgo técnico</t>
  </si>
  <si>
    <t>Alta disponibilidad real tipo Data Guard puede estar limitada en edición gratuita; evidenciar con diagrama y simulación de restore/failover</t>
  </si>
  <si>
    <t>KPI</t>
  </si>
  <si>
    <t>Valor</t>
  </si>
  <si>
    <t>Responsable</t>
  </si>
  <si>
    <t>Horas estimadas</t>
  </si>
  <si>
    <t>Tareas asignadas</t>
  </si>
  <si>
    <t>Total tareas</t>
  </si>
  <si>
    <t>Wuili</t>
  </si>
  <si>
    <t>Completadas</t>
  </si>
  <si>
    <t>Emmanuel</t>
  </si>
  <si>
    <t>En progreso</t>
  </si>
  <si>
    <t>Julian</t>
  </si>
  <si>
    <t>Bloqueadas</t>
  </si>
  <si>
    <t>Luis</t>
  </si>
  <si>
    <t>Pendientes</t>
  </si>
  <si>
    <t>Total equipo</t>
  </si>
  <si>
    <t>Avance %</t>
  </si>
  <si>
    <t>Criterio PDF</t>
  </si>
  <si>
    <t>Puntos</t>
  </si>
  <si>
    <t>Responsable principal</t>
  </si>
  <si>
    <t>Evidencia clave</t>
  </si>
  <si>
    <t>Estado</t>
  </si>
  <si>
    <t>Comentario</t>
  </si>
  <si>
    <t>Documento PDF con evidencia</t>
  </si>
  <si>
    <t>Capturas, scripts, diagramas y resultados</t>
  </si>
  <si>
    <t>No iniciada</t>
  </si>
  <si>
    <t>Debe seguir el orden exacto de la rúbrica</t>
  </si>
  <si>
    <t>Transacciones y Control de Concurrencia</t>
  </si>
  <si>
    <t>COMMIT/ROLLBACK, aislamiento y deadlock</t>
  </si>
  <si>
    <t>Usar dos sesiones Oracle reales</t>
  </si>
  <si>
    <t>PL/SQL, Triggers y Auditoría</t>
  </si>
  <si>
    <t>Procedures/functions/packages, triggers y auditoría</t>
  </si>
  <si>
    <t>Aquí sí aplica PL/SQL nativo de Oracle</t>
  </si>
  <si>
    <t>Respaldo y Recuperación</t>
  </si>
  <si>
    <t>RMAN/Data Pump + ARCHIVELOG/redo recovery</t>
  </si>
  <si>
    <t>Habilitar estrategia desde el inicio</t>
  </si>
  <si>
    <t>Seguridad y Roles</t>
  </si>
  <si>
    <t>CREATE USER/ROLE, GRANT/REVOKE e intento no autorizado</t>
  </si>
  <si>
    <t>No usar SYS/SYSTEM para la demo</t>
  </si>
  <si>
    <t>Optimización y Rendimiento</t>
  </si>
  <si>
    <t>EXPLAIN PLAN, DBMS_XPLAN, índices, tiempos</t>
  </si>
  <si>
    <t>Comparar antes/después</t>
  </si>
  <si>
    <t>Data Warehouse y BI</t>
  </si>
  <si>
    <t>ERD, ETL y 3 KPIs estratégicos</t>
  </si>
  <si>
    <t>Modelo estrella separado del operacional</t>
  </si>
  <si>
    <t>Alta Disponibilidad</t>
  </si>
  <si>
    <t>Diagrama HA con standby y failover</t>
  </si>
  <si>
    <t>Conceptual o simulado si la edición gratuita limita HA real</t>
  </si>
  <si>
    <t>Dominio del tema y claridad en la explicación</t>
  </si>
  <si>
    <t>Guion, demo y Q&amp;A técnico</t>
  </si>
  <si>
    <t>Cada integrante debe defender su componente</t>
  </si>
  <si>
    <t>ID</t>
  </si>
  <si>
    <t>Sprint</t>
  </si>
  <si>
    <t>Fase</t>
  </si>
  <si>
    <t>Tarea</t>
  </si>
  <si>
    <t>Apoyo</t>
  </si>
  <si>
    <t>Rol</t>
  </si>
  <si>
    <t>Evidencia requerida</t>
  </si>
  <si>
    <t>Criterio de aceptación</t>
  </si>
  <si>
    <t>Dependencias</t>
  </si>
  <si>
    <t>Prioridad</t>
  </si>
  <si>
    <t>Fecha objetivo</t>
  </si>
  <si>
    <t>Comentarios</t>
  </si>
  <si>
    <t>T-001</t>
  </si>
  <si>
    <t>Sprint 0 - Preparación</t>
  </si>
  <si>
    <t>Planificación</t>
  </si>
  <si>
    <t>Confirmar alcance: Sistema de gestión académica para educación</t>
  </si>
  <si>
    <t>Todos</t>
  </si>
  <si>
    <t>A/R</t>
  </si>
  <si>
    <t>Acta breve de alcance y tema elegido</t>
  </si>
  <si>
    <t>Tema definido como educación; incluye estudiantes, docentes, cursos, secciones, períodos, inscripciones y notas</t>
  </si>
  <si>
    <t>Ninguna</t>
  </si>
  <si>
    <t>Alta</t>
  </si>
  <si>
    <t>Día 1</t>
  </si>
  <si>
    <t>No mezclar demasiados módulos; mantener alcance defendible</t>
  </si>
  <si>
    <t>T-002</t>
  </si>
  <si>
    <t>Planificación técnica</t>
  </si>
  <si>
    <t>Definir oficialmente Oracle PL/SQL como motor procedural del proyecto</t>
  </si>
  <si>
    <t>Nota técnica en el PDF con decisión de base de datos</t>
  </si>
  <si>
    <t>Se declara Oracle Database Free/XE o ambiente Oracle equivalente; se trabajará con PL/SQL nativo</t>
  </si>
  <si>
    <t>Eliminar cualquier referencia a MySQL para evitar contradicción con el criterio PL/SQL</t>
  </si>
  <si>
    <t>T-003</t>
  </si>
  <si>
    <t>Ambiente</t>
  </si>
  <si>
    <t>Crear repositorio y estructura de carpetas del proyecto</t>
  </si>
  <si>
    <t>R</t>
  </si>
  <si>
    <t>Captura del repositorio y árbol de carpetas</t>
  </si>
  <si>
    <t>Estructura mínima: /sql/oracle, /plsql, /docs, /evidencias, /dw, /api, /frontend, /presentacion</t>
  </si>
  <si>
    <t>Node/React debe quedar como apoyo de demo, no como centro del proyecto</t>
  </si>
  <si>
    <t>T-004</t>
  </si>
  <si>
    <t>Ambiente Oracle</t>
  </si>
  <si>
    <t>Levantar ambiente Oracle Free/XE y cliente SQL</t>
  </si>
  <si>
    <t>Capturas de conexión, versión y usuario de trabajo</t>
  </si>
  <si>
    <t>Oracle operativo; conexión validada con SQL Developer, SQLcl o SQL*Plus; schema académico creado</t>
  </si>
  <si>
    <t>No trabajar como SYS/SYSTEM salvo administración inicial</t>
  </si>
  <si>
    <t>T-005</t>
  </si>
  <si>
    <t>Crear matriz de trazabilidad criterio → evidencia → responsable</t>
  </si>
  <si>
    <t>Tabla de trazabilidad incluida en el PDF</t>
  </si>
  <si>
    <t>Cada criterio de la rúbrica tiene evidencia, script, captura y responsable definido</t>
  </si>
  <si>
    <t>Día 2</t>
  </si>
  <si>
    <t>Usar esta matriz como control de avance</t>
  </si>
  <si>
    <t>T-006</t>
  </si>
  <si>
    <t>Sprint 1 - Base Oracle/PLSQL</t>
  </si>
  <si>
    <t>Modelo operacional</t>
  </si>
  <si>
    <t>Diseñar diagrama ER operacional del sistema educativo</t>
  </si>
  <si>
    <t>Diagrama ER con PK, FK y cardinalidades</t>
  </si>
  <si>
    <t>Incluye Estudiante, Docente, Curso, Sección, Período, Inscripción, Nota y Auditoría</t>
  </si>
  <si>
    <t>Semana 1</t>
  </si>
  <si>
    <t>El ERD operacional debe estar normalizado antes del DW</t>
  </si>
  <si>
    <t>T-007</t>
  </si>
  <si>
    <t>Definir diccionario de datos y reglas de negocio académicas</t>
  </si>
  <si>
    <t>Diccionario de datos y reglas documentadas</t>
  </si>
  <si>
    <t>Reglas claras: cupos, nota 0-100, inscripción única por sección, períodos activos, estados de inscripción</t>
  </si>
  <si>
    <t>Esto alimenta constraints, triggers y packages PL/SQL</t>
  </si>
  <si>
    <t>T-008</t>
  </si>
  <si>
    <t>Crear scripts DDL Oracle de tablas, secuencias, constraints y FK</t>
  </si>
  <si>
    <t>Scripts CREATE TABLE, CREATE SEQUENCE, PK, FK, CHECK y UNIQUE</t>
  </si>
  <si>
    <t>Scripts ejecutan desde cero sin errores; tablas, constraints y secuencias quedan creadas en schema académico</t>
  </si>
  <si>
    <t>Oracle usa NUMBER, VARCHAR2, DATE/TIMESTAMP; evitar sintaxis MySQL</t>
  </si>
  <si>
    <t>T-009</t>
  </si>
  <si>
    <t>Datos de prueba</t>
  </si>
  <si>
    <t>Preparar dataset académico para pruebas</t>
  </si>
  <si>
    <t>Script INSERT con estudiantes, docentes, cursos, secciones, notas e inscripciones</t>
  </si>
  <si>
    <t>Datos suficientes para probar transacciones, seguridad, rendimiento y DW</t>
  </si>
  <si>
    <t>Incluir casos válidos e inválidos</t>
  </si>
  <si>
    <t>T-010</t>
  </si>
  <si>
    <t>Validación funcional</t>
  </si>
  <si>
    <t>Probar integridad referencial y constraints con casos negativos</t>
  </si>
  <si>
    <t>Capturas de errores controlados por FK/unique/check</t>
  </si>
  <si>
    <t>Se demuestra que el modelo bloquea datos inválidos sin depender de Node/React</t>
  </si>
  <si>
    <t>Media</t>
  </si>
  <si>
    <t>Capturar ORA errors relevantes</t>
  </si>
  <si>
    <t>T-011</t>
  </si>
  <si>
    <t>Transacciones y Concurrencia</t>
  </si>
  <si>
    <t>Crear package pkg_inscripciones con procedimiento inscribir_estudiante</t>
  </si>
  <si>
    <t>Package spec/body y prueba de ejecución</t>
  </si>
  <si>
    <t>Usa PL/SQL, validaciones, actualización de cupo, INSERT de inscripción y COMMIT/ROLLBACK explícitos</t>
  </si>
  <si>
    <t>Operación crítica ideal para educación</t>
  </si>
  <si>
    <t>T-012</t>
  </si>
  <si>
    <t>Demostrar caso exitoso con COMMIT explícito</t>
  </si>
  <si>
    <t>Capturas antes/después de inscripción y cupo</t>
  </si>
  <si>
    <t>La inscripción queda registrada y el cupo se reduce consistentemente</t>
  </si>
  <si>
    <t>Capturar sesión SQL completa</t>
  </si>
  <si>
    <t>T-013</t>
  </si>
  <si>
    <t>Demostrar ROLLBACK ante error controlado</t>
  </si>
  <si>
    <t>Capturas antes/después y mensaje de error</t>
  </si>
  <si>
    <t>Ante cupo lleno, estudiante duplicado o período cerrado no quedan cambios parciales</t>
  </si>
  <si>
    <t>Debe demostrar atomicidad</t>
  </si>
  <si>
    <t>T-014</t>
  </si>
  <si>
    <t>Demostrar aislamiento READ COMMITTED con dos sesiones Oracle</t>
  </si>
  <si>
    <t>Capturas de sesión A y sesión B</t>
  </si>
  <si>
    <t>Se evidencia visibilidad de datos confirmados y no confirmados bajo READ COMMITTED</t>
  </si>
  <si>
    <t>Oracle usa READ COMMITTED por defecto</t>
  </si>
  <si>
    <t>T-015</t>
  </si>
  <si>
    <t>Demostrar aislamiento SERIALIZABLE con dos sesiones Oracle</t>
  </si>
  <si>
    <t>Capturas de bloqueos, consistencia o error ORA-08177 si aplica</t>
  </si>
  <si>
    <t>Se evidencia comportamiento serializable en operación académica concurrente</t>
  </si>
  <si>
    <t>Usar SET TRANSACTION ISOLATION LEVEL SERIALIZABLE</t>
  </si>
  <si>
    <t>T-016</t>
  </si>
  <si>
    <t>Reproducir escenario de deadlock académico ORA-00060</t>
  </si>
  <si>
    <t>Script de dos sesiones y captura del error deadlock</t>
  </si>
  <si>
    <t>Dos transacciones bloquean recursos en orden inverso y Oracle reporta deadlock</t>
  </si>
  <si>
    <t>Semana 2</t>
  </si>
  <si>
    <t>Ejemplo: actualizar dos secciones en orden invertido desde dos sesiones</t>
  </si>
  <si>
    <t>T-017</t>
  </si>
  <si>
    <t>Resolver y documentar el deadlock</t>
  </si>
  <si>
    <t>Script corregido y explicación técnica</t>
  </si>
  <si>
    <t>Solución aplicada: orden fijo de locks, SELECT FOR UPDATE o reducción de alcance transaccional</t>
  </si>
  <si>
    <t>Debe explicar causa raíz, no solo mostrar el error</t>
  </si>
  <si>
    <t>T-018</t>
  </si>
  <si>
    <t>PL/SQL</t>
  </si>
  <si>
    <t>Crear package pkg_notas para registrar y actualizar notas</t>
  </si>
  <si>
    <t>Package spec/body y capturas de prueba</t>
  </si>
  <si>
    <t>Valida estudiante inscrito, curso activo y nota entre 0 y 100 antes de registrar o actualizar nota</t>
  </si>
  <si>
    <t>Aquí deben lucirse con PL/SQL real, exceptions y parámetros</t>
  </si>
  <si>
    <t>T-019</t>
  </si>
  <si>
    <t>Crear funciones PL/SQL de apoyo académico</t>
  </si>
  <si>
    <t>Scripts CREATE FUNCTION y pruebas</t>
  </si>
  <si>
    <t>Funciones como fn_promedio_estudiante, fn_estado_aprobacion o fn_cupo_disponible devuelven resultados correctos</t>
  </si>
  <si>
    <t>No abusar de funciones si una consulta SQL simple basta</t>
  </si>
  <si>
    <t>T-020</t>
  </si>
  <si>
    <t>Crear tabla de auditoría académica</t>
  </si>
  <si>
    <t>DDL de tabla auditoria_academica</t>
  </si>
  <si>
    <t>Tabla registra usuario, fecha/hora, operación, tabla afectada, PK, valor anterior y nuevo</t>
  </si>
  <si>
    <t>Usar USER, SYSTIMESTAMP y variables OLD/NEW</t>
  </si>
  <si>
    <t>T-021</t>
  </si>
  <si>
    <t>Triggers</t>
  </si>
  <si>
    <t>Crear trigger de auditoría para cambios en notas e inscripciones</t>
  </si>
  <si>
    <t>Script CREATE TRIGGER y capturas</t>
  </si>
  <si>
    <t>El trigger registra INSERT/UPDATE/DELETE relevantes en la tabla de auditoría</t>
  </si>
  <si>
    <t>Evitar trigger mutating table; mantenerlo simple</t>
  </si>
  <si>
    <t>T-022</t>
  </si>
  <si>
    <t>Crear trigger de validación de reglas de negocio</t>
  </si>
  <si>
    <t>Script CREATE TRIGGER y pruebas inválidas</t>
  </si>
  <si>
    <t>Bloquea nota fuera de rango, cupo negativo, inscripción en período cerrado o duplicidad relevante</t>
  </si>
  <si>
    <t>Usar RAISE_APPLICATION_ERROR con mensajes claros</t>
  </si>
  <si>
    <t>T-023</t>
  </si>
  <si>
    <t>Implementar manejo de excepciones en procedimientos críticos</t>
  </si>
  <si>
    <t>Código PL/SQL con EXCEPTION y capturas de error</t>
  </si>
  <si>
    <t>Los procedimientos devuelven errores controlados y hacen rollback cuando corresponde</t>
  </si>
  <si>
    <t>T-011,T-018</t>
  </si>
  <si>
    <t>No ocultar errores; relanzar con mensaje académico claro</t>
  </si>
  <si>
    <t>T-024</t>
  </si>
  <si>
    <t>Documentar packages, procedures, functions y triggers</t>
  </si>
  <si>
    <t>Sección técnica en PDF</t>
  </si>
  <si>
    <t>Se explica entrada, salida, reglas aplicadas, errores y evidencia de ejecución</t>
  </si>
  <si>
    <t>T-018,T-021,T-022</t>
  </si>
  <si>
    <t>Esto pesa en dominio oral</t>
  </si>
  <si>
    <t>T-025</t>
  </si>
  <si>
    <t>Sprint 2 - Seguridad/Rendimiento/DW</t>
  </si>
  <si>
    <t>Backup/Recovery</t>
  </si>
  <si>
    <t>Definir estrategia de backup Oracle: RMAN completo + incremental/Data Pump</t>
  </si>
  <si>
    <t>Plan de backup con comandos y frecuencia</t>
  </si>
  <si>
    <t>Incluye respaldo completo, incremental o lógico, retención y ubicación de respaldos</t>
  </si>
  <si>
    <t>Elegir una estrategia viable para edición gratuita; no prometer Data Guard si no lo implementan</t>
  </si>
  <si>
    <t>T-026</t>
  </si>
  <si>
    <t>Habilitar y evidenciar modo ARCHIVELOG o alternativa de recuperación desde redo/log</t>
  </si>
  <si>
    <t>Capturas de configuración y comandos</t>
  </si>
  <si>
    <t>Se evidencia cómo se recuperaría hasta un punto usando archived redo logs o se justifica alternativa si el ambiente limita</t>
  </si>
  <si>
    <t>El PDF pide recuperación desde log; no basta con export lógico</t>
  </si>
  <si>
    <t>T-027</t>
  </si>
  <si>
    <t>Simular pérdida de datos académicos</t>
  </si>
  <si>
    <t>Captura de DELETE/DROP controlado en ambiente de prueba</t>
  </si>
  <si>
    <t>Se elimina una inscripción/nota o tabla secundaria de forma controlada para probar recuperación</t>
  </si>
  <si>
    <t>Nunca hacerlo en el único ambiente sin backup validado</t>
  </si>
  <si>
    <t>T-028</t>
  </si>
  <si>
    <t>Recuperar datos desde backup/log y documentar resultado</t>
  </si>
  <si>
    <t>Capturas de restore/recover y validación SQL</t>
  </si>
  <si>
    <t>Los datos perdidos vuelven a estar disponibles y se muestra consulta de verificación</t>
  </si>
  <si>
    <t>Debe verse antes/después con evidencia</t>
  </si>
  <si>
    <t>T-029</t>
  </si>
  <si>
    <t>Seguridad</t>
  </si>
  <si>
    <t>Definir usuarios y roles Oracle por perfil académico</t>
  </si>
  <si>
    <t>Matriz rol → privilegios</t>
  </si>
  <si>
    <t>Incluye roles: rol_admin_academico, rol_app, rol_docente, rol_auditor, rol_reportes</t>
  </si>
  <si>
    <t>Principio de mínimo privilegio</t>
  </si>
  <si>
    <t>T-030</t>
  </si>
  <si>
    <t>Implementar CREATE USER, CREATE ROLE, GRANT y REVOKE</t>
  </si>
  <si>
    <t>Scripts SQL y SHOW/consulta de privilegios</t>
  </si>
  <si>
    <t>Privilegios diferenciados aplicados correctamente por usuario/rol</t>
  </si>
  <si>
    <t>Evitar permisos DBA o ANY innecesarios</t>
  </si>
  <si>
    <t>T-031</t>
  </si>
  <si>
    <t>Demostrar intento de acceso no autorizado</t>
  </si>
  <si>
    <t>Captura de ORA-01031 insufficient privileges u otro error relevante</t>
  </si>
  <si>
    <t>Un usuario de reportes no puede escribir; un docente no puede modificar tablas de otro módulo</t>
  </si>
  <si>
    <t>Debe verse el usuario conectado</t>
  </si>
  <si>
    <t>T-032</t>
  </si>
  <si>
    <t>Documentar modelo de seguridad y mínimo privilegio</t>
  </si>
  <si>
    <t>Sección del PDF con matriz usuario → permisos</t>
  </si>
  <si>
    <t>La explicación justifica por qué cada rol tiene esos privilegios</t>
  </si>
  <si>
    <t>No dejen cuentas con permisos excesivos</t>
  </si>
  <si>
    <t>T-033</t>
  </si>
  <si>
    <t>Optimización</t>
  </si>
  <si>
    <t>Definir consultas críticas de rendimiento</t>
  </si>
  <si>
    <t>Listado de consultas SQL base</t>
  </si>
  <si>
    <t>Incluye consultas de inscripción por período, notas por curso, estudiantes por sección y KPIs</t>
  </si>
  <si>
    <t>Las consultas deben usar datos suficientes</t>
  </si>
  <si>
    <t>T-034</t>
  </si>
  <si>
    <t>Medir EXPLAIN PLAN antes de optimizar</t>
  </si>
  <si>
    <t>Capturas de EXPLAIN PLAN y DBMS_XPLAN.DISPLAY</t>
  </si>
  <si>
    <t>Se registran plan, costo, filas estimadas y ruta de acceso antes de índices</t>
  </si>
  <si>
    <t>Usar PLAN_TABLE/DBMS_XPLAN, no capturas vagas</t>
  </si>
  <si>
    <t>T-035</t>
  </si>
  <si>
    <t>Medir tiempos de respuesta antes de optimizar</t>
  </si>
  <si>
    <t>Capturas con SET TIMING ON o medición equivalente</t>
  </si>
  <si>
    <t>Se registra tiempo de ejecución antes de aplicar índices o reescritura</t>
  </si>
  <si>
    <t>La comparación de tiempos es requisito explícito</t>
  </si>
  <si>
    <t>T-036</t>
  </si>
  <si>
    <t>Crear índices estratégicos sobre tablas críticas</t>
  </si>
  <si>
    <t>Scripts CREATE INDEX</t>
  </si>
  <si>
    <t>Índices en columnas de búsqueda y joins: estudiante_id, curso_id, periodo_id, seccion_id, docente_id</t>
  </si>
  <si>
    <t>No indexar todo; justificar cada índice</t>
  </si>
  <si>
    <t>T-037</t>
  </si>
  <si>
    <t>Comparar EXPLAIN PLAN y tiempos después de optimizar</t>
  </si>
  <si>
    <t>Tabla comparativa antes/después</t>
  </si>
  <si>
    <t>Se demuestra reducción de costo, filas escaneadas o tiempo de respuesta</t>
  </si>
  <si>
    <t>La evidencia debe ser comparativa</t>
  </si>
  <si>
    <t>T-038</t>
  </si>
  <si>
    <t>Optimizar una consulta mediante reescritura SQL</t>
  </si>
  <si>
    <t>Consulta antes/después con explicación</t>
  </si>
  <si>
    <t>Además de índices, se mejora al menos una consulta por JOINs, filtros o agregaciones</t>
  </si>
  <si>
    <t>Esto fortalece la defensa oral</t>
  </si>
  <si>
    <t>T-039</t>
  </si>
  <si>
    <t>Data Warehouse</t>
  </si>
  <si>
    <t>Diseñar modelo dimensional educativo</t>
  </si>
  <si>
    <t>Diagrama estrella del DW</t>
  </si>
  <si>
    <t>Incluye fact_inscripciones, fact_notas, dim_estudiante, dim_curso, dim_docente, dim_periodo</t>
  </si>
  <si>
    <t>No confundir ER operacional con modelo dimensional</t>
  </si>
  <si>
    <t>T-040</t>
  </si>
  <si>
    <t>Crear DDL Oracle del Data Warehouse</t>
  </si>
  <si>
    <t>Scripts CREATE TABLE del DW</t>
  </si>
  <si>
    <t>Tablas dimensionales y hechos creadas en schema DW o prefijo DW_ con claves surrogate justificadas</t>
  </si>
  <si>
    <t>Puede estar en otro usuario/schema Oracle</t>
  </si>
  <si>
    <t>T-041</t>
  </si>
  <si>
    <t>ETL</t>
  </si>
  <si>
    <t>Crear package/procedure ETL desde operacional hacia DW</t>
  </si>
  <si>
    <t>Package ETL o scripts INSERT SELECT</t>
  </si>
  <si>
    <t>Extrae, transforma y carga dimensiones y hechos de forma repetible</t>
  </si>
  <si>
    <t>T-040,T-009</t>
  </si>
  <si>
    <t>PL/SQL puede aportar valor real aquí</t>
  </si>
  <si>
    <t>T-042</t>
  </si>
  <si>
    <t>BI</t>
  </si>
  <si>
    <t>Definir al menos 3 indicadores estratégicos académicos</t>
  </si>
  <si>
    <t>Tabla de KPIs con fórmula y consulta SQL</t>
  </si>
  <si>
    <t>Mínimo: tasa de aprobación, promedio por curso/docente, inscripciones por período</t>
  </si>
  <si>
    <t>KPIs deben salir del DW, no solo de la base operacional</t>
  </si>
  <si>
    <t>T-043</t>
  </si>
  <si>
    <t>Crear vistas o consultas BI para indicadores</t>
  </si>
  <si>
    <t>SQL de vistas/consultas y capturas de resultados</t>
  </si>
  <si>
    <t>Cada indicador tiene consulta reproducible y resultado legible</t>
  </si>
  <si>
    <t>Puede alimentar gráficas de React si hacen frontend</t>
  </si>
  <si>
    <t>T-044</t>
  </si>
  <si>
    <t>Documentar diagrama del flujo ETL</t>
  </si>
  <si>
    <t>Diagrama ETL incluido en PDF</t>
  </si>
  <si>
    <t>Se visualiza origen operacional, transformación, carga al DW y consumo BI</t>
  </si>
  <si>
    <t>Diagrama simple pero claro</t>
  </si>
  <si>
    <t>T-045</t>
  </si>
  <si>
    <t>Sprint 3 - Evidencia/Presentación</t>
  </si>
  <si>
    <t>Alta disponibilidad</t>
  </si>
  <si>
    <t>Diseñar arquitectura HA para Oracle y aplicación</t>
  </si>
  <si>
    <t>Incluye Oracle primary, standby/replica conceptual, backups, failover, Node/React/API y usuarios</t>
  </si>
  <si>
    <t>Semana 3</t>
  </si>
  <si>
    <t>Si usan edición gratuita, presentar HA como diseño y simulación; no venderlo como Data Guard real si no existe</t>
  </si>
  <si>
    <t>T-046</t>
  </si>
  <si>
    <t>Definir proceso de failover, RPO y RTO</t>
  </si>
  <si>
    <t>Explica qué pasa si cae el primario, cómo se promueve standby/restaura backup y qué datos se pueden perder</t>
  </si>
  <si>
    <t>Sin RPO/RTO el diagrama queda superficial</t>
  </si>
  <si>
    <t>T-047</t>
  </si>
  <si>
    <t>Probar restauración en instancia secundaria o contenedor standby</t>
  </si>
  <si>
    <t>Capturas de restauración en ambiente secundario</t>
  </si>
  <si>
    <t>Evidencia práctica de recuperación/failover básico, aunque sea simulada</t>
  </si>
  <si>
    <t>T-028,T-045</t>
  </si>
  <si>
    <t>Refuerza backup y HA a la vez</t>
  </si>
  <si>
    <t>T-048</t>
  </si>
  <si>
    <t>Demo opcional Node</t>
  </si>
  <si>
    <t>Crear API Node mínima para demostrar operaciones principales</t>
  </si>
  <si>
    <t>Código o capturas de endpoints</t>
  </si>
  <si>
    <t>Endpoints mínimos: estudiantes, cursos, inscripción y notas; conectan con Oracle usando usuario app</t>
  </si>
  <si>
    <t>T-011,T-018,T-030</t>
  </si>
  <si>
    <t>Opcional; no debe sustituir scripts SQL/PLSQL</t>
  </si>
  <si>
    <t>T-049</t>
  </si>
  <si>
    <t>Demo opcional React</t>
  </si>
  <si>
    <t>Crear pantallas React mínimas para demo visual</t>
  </si>
  <si>
    <t>Capturas de interfaz</t>
  </si>
  <si>
    <t>Pantallas mínimas: inscripción, registro de nota y dashboard simple de KPIs</t>
  </si>
  <si>
    <t>T-048,T-043</t>
  </si>
  <si>
    <t>Baja</t>
  </si>
  <si>
    <t>Solo conviene si ya terminaron la base de datos</t>
  </si>
  <si>
    <t>T-050</t>
  </si>
  <si>
    <t>Documento final</t>
  </si>
  <si>
    <t>Consolidar PDF final con evidencias por criterio</t>
  </si>
  <si>
    <t>PDF final ordenado por rúbrica</t>
  </si>
  <si>
    <t>Incluye capturas, scripts, diagramas y resultados para todos los criterios evaluados</t>
  </si>
  <si>
    <t>Todas</t>
  </si>
  <si>
    <t>Usar el mismo orden de la ponderación</t>
  </si>
  <si>
    <t>T-051</t>
  </si>
  <si>
    <t>Control de calidad</t>
  </si>
  <si>
    <t>Revisar contra rúbrica y corregir brechas</t>
  </si>
  <si>
    <t>Checklist marcado y correcciones aplicadas</t>
  </si>
  <si>
    <t>Ningún criterio queda sin evidencia verificable</t>
  </si>
  <si>
    <t>Revisión fría: si no hay captura/script, no cuenta</t>
  </si>
  <si>
    <t>T-052</t>
  </si>
  <si>
    <t>Presentación oral</t>
  </si>
  <si>
    <t>Preparar guion de exposición por integrante</t>
  </si>
  <si>
    <t>Guion y distribución de temas</t>
  </si>
  <si>
    <t>Cada integrante domina su componente y puede explicar decisiones técnicas</t>
  </si>
  <si>
    <t>Evitar que solo una persona entienda todo</t>
  </si>
  <si>
    <t>T-053</t>
  </si>
  <si>
    <t>Preparar preguntas difíciles y respuestas técnicas</t>
  </si>
  <si>
    <t>Documento Q&amp;A</t>
  </si>
  <si>
    <t>Incluye respuestas sobre aislamiento, deadlock ORA-00060, redo logs, RMAN, índices, DW, seguridad y HA</t>
  </si>
  <si>
    <t>Esto sube la defensa oral</t>
  </si>
  <si>
    <t>Componente/Criterio</t>
  </si>
  <si>
    <t>Evidencia crítica</t>
  </si>
  <si>
    <t>Observación</t>
  </si>
  <si>
    <t>C</t>
  </si>
  <si>
    <t>PDF con capturas, scripts, diagramas y resultados</t>
  </si>
  <si>
    <t>Luis consolida, todos entregan evidencia</t>
  </si>
  <si>
    <t>Modelo operacional Oracle</t>
  </si>
  <si>
    <t>ERD, DDL Oracle, constraints, dataset</t>
  </si>
  <si>
    <t>Wuili cuida consistencia técnica del modelo</t>
  </si>
  <si>
    <t>Transacciones y concurrencia</t>
  </si>
  <si>
    <t>COMMIT/ROLLBACK, READ COMMITTED, SERIALIZABLE, deadlock ORA-00060</t>
  </si>
  <si>
    <t>Debe probarse con dos sesiones reales</t>
  </si>
  <si>
    <t>PL/SQL, triggers y auditoría</t>
  </si>
  <si>
    <t>Packages, procedures, functions, triggers, auditoría</t>
  </si>
  <si>
    <t>Emmanuel lidera el criterio más alineado al enunciado</t>
  </si>
  <si>
    <t>Respaldo y recuperación</t>
  </si>
  <si>
    <t>I</t>
  </si>
  <si>
    <t>RMAN/Data Pump, ARCHIVELOG/redo, restore/recover</t>
  </si>
  <si>
    <t>No basta con capturas de export</t>
  </si>
  <si>
    <t>Seguridad y roles</t>
  </si>
  <si>
    <t>CREATE USER/ROLE, GRANT/REVOKE, intento no autorizado</t>
  </si>
  <si>
    <t>No usar privilegios excesivos</t>
  </si>
  <si>
    <t>Optimización y rendimiento</t>
  </si>
  <si>
    <t>Julian debe entregar comparación antes/después</t>
  </si>
  <si>
    <t>Modelo estrella, ETL PL/SQL, KPIs</t>
  </si>
  <si>
    <t>Separar operacional vs dimensional</t>
  </si>
  <si>
    <t>Diagrama HA, standby/failover, RPO/RTO</t>
  </si>
  <si>
    <t>Si no implementan Data Guard, declararlo como diseño/simulación</t>
  </si>
  <si>
    <t>Guion y Q&amp;A técnico</t>
  </si>
  <si>
    <t>Todos deben poder responder preguntas del catedrático</t>
  </si>
  <si>
    <t>Criterio</t>
  </si>
  <si>
    <t>¿Tiene script?</t>
  </si>
  <si>
    <t>¿Tiene captura?</t>
  </si>
  <si>
    <t>¿Tiene diagrama?</t>
  </si>
  <si>
    <t>¿Tiene explicación?</t>
  </si>
  <si>
    <t>Sí</t>
  </si>
  <si>
    <t>Pendiente</t>
  </si>
  <si>
    <t>Opcional</t>
  </si>
  <si>
    <t>No</t>
  </si>
  <si>
    <t>Tema</t>
  </si>
  <si>
    <t>Motor elegido</t>
  </si>
  <si>
    <t>Oracle Database Free/XE o ambiente Oracle equivalente</t>
  </si>
  <si>
    <t>Lenguaje procedural</t>
  </si>
  <si>
    <t>PL/SQL nativo: packages, procedures, functions, triggers, exceptions y transactions</t>
  </si>
  <si>
    <t>Operación crítica sugerida</t>
  </si>
  <si>
    <t>Inscripción de estudiante a sección: valida período, cupo, inscripción duplicada; actualiza cupo y crea inscripción dentro de una transacción.</t>
  </si>
  <si>
    <t>Deadlock sugerido</t>
  </si>
  <si>
    <t>Dos sesiones actualizan las mismas secciones/inscripciones en orden inverso. Error esperado: ORA-00060. Solución: orden fijo de locks o SELECT ... FOR UPDATE.</t>
  </si>
  <si>
    <t>Aislamiento</t>
  </si>
  <si>
    <t>Usar READ COMMITTED y SERIALIZABLE en dos sesiones separadas; Oracle READ COMMITTED es el default.</t>
  </si>
  <si>
    <t>Backup</t>
  </si>
  <si>
    <t>Usar RMAN para backup/recovery. Data Pump puede servir para respaldo lógico, pero no reemplaza recuperación desde redo/archive logs.</t>
  </si>
  <si>
    <t>No usar SYS/SYSTEM para la demo funcional. Crear usuarios/roles: rol_admin_academico, rol_app, rol_docente, rol_auditor, rol_reportes.</t>
  </si>
  <si>
    <t>Medir con EXPLAIN PLAN, DBMS_XPLAN.DISPLAY y tiempos antes/después; justificar índices, no crear índices indiscriminados.</t>
  </si>
  <si>
    <t>DW/BI</t>
  </si>
  <si>
    <t>Separar modelo operacional normalizado del modelo dimensional. KPIs recomendados: tasa de aprobación, promedio por curso/docente, inscripciones por período.</t>
  </si>
  <si>
    <t>Node/React</t>
  </si>
  <si>
    <t>Opcional para demo visual. No debe reemplazar la evidencia SQL/PLSQL exigida por la rúbrica.</t>
  </si>
  <si>
    <t>Si la edición gratuita limita Data Guard, presentar diagrama HA y simular failover/restauración en instancia secundaria. No afirmar implementación real si no se prueba.</t>
  </si>
  <si>
    <t>Responsables</t>
  </si>
  <si>
    <t>Estados</t>
  </si>
  <si>
    <t>Prioridades</t>
  </si>
  <si>
    <t>Roles RACI</t>
  </si>
  <si>
    <t>Sprints</t>
  </si>
  <si>
    <t>En revisión</t>
  </si>
  <si>
    <t>Completada</t>
  </si>
  <si>
    <t>Bloqueada</t>
  </si>
  <si>
    <t>R/C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</si>
</sst>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6.0"/>
      <color rgb="FFFFFFFF"/>
      <name val="Carlito"/>
    </font>
    <font>
      <sz val="11.0"/>
      <color theme="1"/>
      <name val="Carlito"/>
    </font>
    <font>
      <b/>
      <sz val="11.0"/>
      <color theme="1"/>
      <name val="Carlito"/>
    </font>
    <font>
      <b/>
      <sz val="11.0"/>
      <color rgb="FFFFFFFF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FF2CC"/>
        <bgColor rgb="FFFFF2CC"/>
      </patternFill>
    </fill>
  </fills>
  <borders count="1">
    <border/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0" fillId="3" fontId="3" numFmtId="0" xfId="0" applyAlignment="1" applyFill="1" applyFont="1">
      <alignment shrinkToFit="0" vertical="top" wrapText="1"/>
    </xf>
    <xf borderId="0" fillId="4" fontId="2" numFmtId="0" xfId="0" applyAlignment="1" applyFill="1" applyFont="1">
      <alignment shrinkToFit="0" vertical="top" wrapText="1"/>
    </xf>
    <xf borderId="0" fillId="2" fontId="4" numFmtId="0" xfId="0" applyAlignment="1" applyFont="1">
      <alignment horizontal="center" shrinkToFit="0" vertical="top" wrapText="1"/>
    </xf>
    <xf borderId="0" fillId="0" fontId="2" numFmtId="9" xfId="0" applyAlignment="1" applyFont="1" applyNumberFormat="1">
      <alignment shrinkToFit="0" vertical="top" wrapText="1"/>
    </xf>
    <xf borderId="0" fillId="2" fontId="4" numFmtId="0" xfId="0" applyAlignment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0" fillId="2" fontId="4" numFmtId="0" xfId="0" applyAlignment="1" applyFont="1">
      <alignment horizontal="center" shrinkToFit="0" vertical="center" wrapText="1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</dxfs>
  <tableStyles count="3">
    <tableStyle count="3" pivot="0" name="Matriz Trabajo-style">
      <tableStyleElement dxfId="1" type="headerRow"/>
      <tableStyleElement dxfId="2" type="firstRowStripe"/>
      <tableStyleElement dxfId="3" type="secondRowStripe"/>
    </tableStyle>
    <tableStyle count="3" pivot="0" name="RACI-style">
      <tableStyleElement dxfId="1" type="headerRow"/>
      <tableStyleElement dxfId="2" type="firstRowStripe"/>
      <tableStyleElement dxfId="3" type="secondRowStripe"/>
    </tableStyle>
    <tableStyle count="3" pivot="0" name="Checklist Entrega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Horas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Dashboard!$D$11:$D$14</c:f>
            </c:strRef>
          </c:cat>
          <c:val>
            <c:numRef>
              <c:f>Dashboard!$E$11:$E$14</c:f>
              <c:numCache/>
            </c:numRef>
          </c:val>
        </c:ser>
        <c:axId val="1140261396"/>
        <c:axId val="1468342578"/>
      </c:barChart>
      <c:catAx>
        <c:axId val="11402613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68342578"/>
      </c:catAx>
      <c:valAx>
        <c:axId val="146834257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40261396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2</xdr:row>
      <xdr:rowOff>0</xdr:rowOff>
    </xdr:from>
    <xdr:ext cx="4600575" cy="3495675"/>
    <xdr:graphicFrame>
      <xdr:nvGraphicFramePr>
        <xdr:cNvPr id="40197088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Q54" displayName="Table_1" name="Table_1" id="1">
  <tableColumns count="17">
    <tableColumn name="ID" id="1"/>
    <tableColumn name="Sprint" id="2"/>
    <tableColumn name="Fase" id="3"/>
    <tableColumn name="Criterio PDF" id="4"/>
    <tableColumn name="Puntos" id="5"/>
    <tableColumn name="Tarea" id="6"/>
    <tableColumn name="Responsable" id="7"/>
    <tableColumn name="Apoyo" id="8"/>
    <tableColumn name="Rol" id="9"/>
    <tableColumn name="Evidencia requerida" id="10"/>
    <tableColumn name="Criterio de aceptación" id="11"/>
    <tableColumn name="Dependencias" id="12"/>
    <tableColumn name="Prioridad" id="13"/>
    <tableColumn name="Estado" id="14"/>
    <tableColumn name="Horas estimadas" id="15"/>
    <tableColumn name="Fecha objetivo" id="16"/>
    <tableColumn name="Comentarios" id="17"/>
  </tableColumns>
  <tableStyleInfo name="Matriz Trabajo-style" showColumnStripes="0" showFirstColumn="1" showLastColumn="1" showRowStripes="1"/>
</table>
</file>

<file path=xl/tables/table2.xml><?xml version="1.0" encoding="utf-8"?>
<table xmlns="http://schemas.openxmlformats.org/spreadsheetml/2006/main" ref="A1:G11" displayName="Table_2" name="Table_2" id="2">
  <tableColumns count="7">
    <tableColumn name="Componente/Criterio" id="1"/>
    <tableColumn name="Wuili" id="2"/>
    <tableColumn name="Emmanuel" id="3"/>
    <tableColumn name="Julian" id="4"/>
    <tableColumn name="Luis" id="5"/>
    <tableColumn name="Evidencia crítica" id="6"/>
    <tableColumn name="Observación" id="7"/>
  </tableColumns>
  <tableStyleInfo name="RACI-style" showColumnStripes="0" showFirstColumn="1" showLastColumn="1" showRowStripes="1"/>
</table>
</file>

<file path=xl/tables/table3.xml><?xml version="1.0" encoding="utf-8"?>
<table xmlns="http://schemas.openxmlformats.org/spreadsheetml/2006/main" ref="A1:H10" displayName="Table_3" name="Table_3" id="3">
  <tableColumns count="8">
    <tableColumn name="Criterio" id="1"/>
    <tableColumn name="Puntos" id="2"/>
    <tableColumn name="¿Tiene script?" id="3"/>
    <tableColumn name="¿Tiene captura?" id="4"/>
    <tableColumn name="¿Tiene diagrama?" id="5"/>
    <tableColumn name="¿Tiene explicación?" id="6"/>
    <tableColumn name="Responsable" id="7"/>
    <tableColumn name="Estado" id="8"/>
  </tableColumns>
  <tableStyleInfo name="Checklist Entreg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3.0"/>
    <col customWidth="1" min="2" max="2" width="54.0"/>
    <col customWidth="1" min="3" max="3" width="14.0"/>
    <col customWidth="1" min="4" max="4" width="34.0"/>
    <col customWidth="1" min="5" max="5" width="14.0"/>
    <col customWidth="1" min="6" max="6" width="35.0"/>
    <col customWidth="1" min="7" max="26" width="8.63"/>
  </cols>
  <sheetData>
    <row r="1" ht="57.0" customHeight="1">
      <c r="A1" s="1" t="s">
        <v>0</v>
      </c>
    </row>
    <row r="2" ht="15.0" customHeight="1">
      <c r="A2" s="2"/>
      <c r="B2" s="2"/>
      <c r="C2" s="2"/>
      <c r="D2" s="2"/>
      <c r="E2" s="2"/>
      <c r="F2" s="2"/>
    </row>
    <row r="3" ht="15.0" customHeight="1">
      <c r="A3" s="3" t="s">
        <v>1</v>
      </c>
      <c r="B3" s="2" t="s">
        <v>2</v>
      </c>
      <c r="C3" s="2"/>
      <c r="D3" s="2"/>
      <c r="E3" s="2"/>
      <c r="F3" s="2"/>
    </row>
    <row r="4" ht="15.0" customHeight="1">
      <c r="A4" s="3" t="s">
        <v>3</v>
      </c>
      <c r="B4" s="2" t="s">
        <v>4</v>
      </c>
      <c r="C4" s="2"/>
      <c r="D4" s="2"/>
      <c r="E4" s="2"/>
      <c r="F4" s="2"/>
    </row>
    <row r="5" ht="15.0" customHeight="1">
      <c r="A5" s="3" t="s">
        <v>5</v>
      </c>
      <c r="B5" s="2" t="s">
        <v>6</v>
      </c>
      <c r="C5" s="2"/>
      <c r="D5" s="2"/>
      <c r="E5" s="2"/>
      <c r="F5" s="2"/>
    </row>
    <row r="6" ht="15.0" customHeight="1">
      <c r="A6" s="3" t="s">
        <v>7</v>
      </c>
      <c r="B6" s="2" t="s">
        <v>8</v>
      </c>
      <c r="C6" s="2"/>
      <c r="D6" s="2"/>
      <c r="E6" s="2"/>
      <c r="F6" s="2"/>
    </row>
    <row r="7" ht="26.25" customHeight="1">
      <c r="A7" s="3" t="s">
        <v>9</v>
      </c>
      <c r="B7" s="4" t="s">
        <v>10</v>
      </c>
      <c r="C7" s="2"/>
      <c r="D7" s="2"/>
      <c r="E7" s="2"/>
      <c r="F7" s="2"/>
    </row>
    <row r="8" ht="39.0" customHeight="1">
      <c r="A8" s="3" t="s">
        <v>11</v>
      </c>
      <c r="B8" s="4" t="s">
        <v>12</v>
      </c>
      <c r="C8" s="2"/>
      <c r="D8" s="2"/>
      <c r="E8" s="2"/>
      <c r="F8" s="2"/>
    </row>
    <row r="9" ht="15.0" customHeight="1">
      <c r="A9" s="2"/>
      <c r="B9" s="2"/>
      <c r="C9" s="2"/>
      <c r="D9" s="2"/>
      <c r="E9" s="2"/>
      <c r="F9" s="2"/>
    </row>
    <row r="10" ht="15.0" customHeight="1">
      <c r="A10" s="5" t="s">
        <v>13</v>
      </c>
      <c r="B10" s="5" t="s">
        <v>14</v>
      </c>
      <c r="C10" s="2"/>
      <c r="D10" s="5" t="s">
        <v>15</v>
      </c>
      <c r="E10" s="5" t="s">
        <v>16</v>
      </c>
      <c r="F10" s="5" t="s">
        <v>17</v>
      </c>
    </row>
    <row r="11" ht="15.0" customHeight="1">
      <c r="A11" s="2" t="s">
        <v>18</v>
      </c>
      <c r="B11" s="2">
        <f>COUNTA('Matriz Trabajo'!$A$2:$A$200)</f>
        <v>53</v>
      </c>
      <c r="C11" s="2"/>
      <c r="D11" s="2" t="s">
        <v>19</v>
      </c>
      <c r="E11" s="2">
        <f>SUMIF('Matriz Trabajo'!$G:$G,D11,'Matriz Trabajo'!$O:$O)</f>
        <v>36</v>
      </c>
      <c r="F11" s="2">
        <f>COUNTIF('Matriz Trabajo'!$G:$G,D11)</f>
        <v>12</v>
      </c>
    </row>
    <row r="12" ht="15.0" customHeight="1">
      <c r="A12" s="2" t="s">
        <v>20</v>
      </c>
      <c r="B12" s="2">
        <f>COUNTIF('Matriz Trabajo'!$N$2:$N$200,"Completada")</f>
        <v>0</v>
      </c>
      <c r="C12" s="2"/>
      <c r="D12" s="2" t="s">
        <v>21</v>
      </c>
      <c r="E12" s="2">
        <f>SUMIF('Matriz Trabajo'!$G:$G,D12,'Matriz Trabajo'!$O:$O)</f>
        <v>41</v>
      </c>
      <c r="F12" s="2">
        <f>COUNTIF('Matriz Trabajo'!$G:$G,D12)</f>
        <v>14</v>
      </c>
    </row>
    <row r="13" ht="15.0" customHeight="1">
      <c r="A13" s="2" t="s">
        <v>22</v>
      </c>
      <c r="B13" s="2">
        <f>COUNTIF('Matriz Trabajo'!$N$2:$N$200,"En progreso")</f>
        <v>0</v>
      </c>
      <c r="C13" s="2"/>
      <c r="D13" s="2" t="s">
        <v>23</v>
      </c>
      <c r="E13" s="2">
        <f>SUMIF('Matriz Trabajo'!$G:$G,D13,'Matriz Trabajo'!$O:$O)</f>
        <v>37</v>
      </c>
      <c r="F13" s="2">
        <f>COUNTIF('Matriz Trabajo'!$G:$G,D13)</f>
        <v>13</v>
      </c>
    </row>
    <row r="14" ht="15.0" customHeight="1">
      <c r="A14" s="2" t="s">
        <v>24</v>
      </c>
      <c r="B14" s="2">
        <f>COUNTIF('Matriz Trabajo'!$N$2:$N$200,"Bloqueada")</f>
        <v>0</v>
      </c>
      <c r="C14" s="2"/>
      <c r="D14" s="2" t="s">
        <v>25</v>
      </c>
      <c r="E14" s="2">
        <f>SUMIF('Matriz Trabajo'!$G:$G,D14,'Matriz Trabajo'!$O:$O)</f>
        <v>33</v>
      </c>
      <c r="F14" s="2">
        <f>COUNTIF('Matriz Trabajo'!$G:$G,D14)</f>
        <v>14</v>
      </c>
    </row>
    <row r="15" ht="15.0" customHeight="1">
      <c r="A15" s="2" t="s">
        <v>26</v>
      </c>
      <c r="B15" s="2">
        <f>B11-B12-B13-B14</f>
        <v>53</v>
      </c>
      <c r="C15" s="2"/>
      <c r="D15" s="2" t="s">
        <v>27</v>
      </c>
      <c r="E15" s="2">
        <f t="shared" ref="E15:F15" si="1">SUM(E11:E14)</f>
        <v>147</v>
      </c>
      <c r="F15" s="2">
        <f t="shared" si="1"/>
        <v>53</v>
      </c>
    </row>
    <row r="16" ht="15.0" customHeight="1">
      <c r="A16" s="2" t="s">
        <v>28</v>
      </c>
      <c r="B16" s="6">
        <f>IFERROR(B12/B11,0)</f>
        <v>0</v>
      </c>
      <c r="C16" s="2"/>
      <c r="D16" s="2"/>
      <c r="E16" s="2"/>
      <c r="F16" s="2"/>
    </row>
    <row r="17" ht="15.0" customHeight="1">
      <c r="A17" s="2"/>
      <c r="B17" s="2"/>
      <c r="C17" s="2"/>
      <c r="D17" s="2"/>
      <c r="E17" s="2"/>
      <c r="F17" s="2"/>
    </row>
    <row r="18" ht="15.0" customHeight="1">
      <c r="A18" s="2"/>
      <c r="B18" s="2"/>
      <c r="C18" s="2"/>
      <c r="D18" s="2"/>
      <c r="E18" s="2"/>
      <c r="F18" s="2"/>
    </row>
    <row r="19" ht="26.25" customHeight="1">
      <c r="A19" s="5" t="s">
        <v>29</v>
      </c>
      <c r="B19" s="5" t="s">
        <v>30</v>
      </c>
      <c r="C19" s="5" t="s">
        <v>31</v>
      </c>
      <c r="D19" s="5" t="s">
        <v>32</v>
      </c>
      <c r="E19" s="5" t="s">
        <v>33</v>
      </c>
      <c r="F19" s="5" t="s">
        <v>34</v>
      </c>
    </row>
    <row r="20" ht="26.25" customHeight="1">
      <c r="A20" s="2" t="s">
        <v>35</v>
      </c>
      <c r="B20" s="2">
        <v>2.0</v>
      </c>
      <c r="C20" s="2" t="s">
        <v>25</v>
      </c>
      <c r="D20" s="2" t="s">
        <v>36</v>
      </c>
      <c r="E20" s="2" t="s">
        <v>37</v>
      </c>
      <c r="F20" s="2" t="s">
        <v>38</v>
      </c>
    </row>
    <row r="21" ht="26.25" customHeight="1">
      <c r="A21" s="2" t="s">
        <v>39</v>
      </c>
      <c r="B21" s="2">
        <v>2.0</v>
      </c>
      <c r="C21" s="2" t="s">
        <v>19</v>
      </c>
      <c r="D21" s="2" t="s">
        <v>40</v>
      </c>
      <c r="E21" s="2" t="s">
        <v>37</v>
      </c>
      <c r="F21" s="2" t="s">
        <v>41</v>
      </c>
    </row>
    <row r="22" ht="26.25" customHeight="1">
      <c r="A22" s="2" t="s">
        <v>42</v>
      </c>
      <c r="B22" s="2">
        <v>2.0</v>
      </c>
      <c r="C22" s="2" t="s">
        <v>21</v>
      </c>
      <c r="D22" s="2" t="s">
        <v>43</v>
      </c>
      <c r="E22" s="2" t="s">
        <v>37</v>
      </c>
      <c r="F22" s="2" t="s">
        <v>44</v>
      </c>
    </row>
    <row r="23" ht="26.25" customHeight="1">
      <c r="A23" s="2" t="s">
        <v>45</v>
      </c>
      <c r="B23" s="2">
        <v>1.0</v>
      </c>
      <c r="C23" s="2" t="s">
        <v>25</v>
      </c>
      <c r="D23" s="2" t="s">
        <v>46</v>
      </c>
      <c r="E23" s="2" t="s">
        <v>37</v>
      </c>
      <c r="F23" s="2" t="s">
        <v>47</v>
      </c>
    </row>
    <row r="24" ht="26.25" customHeight="1">
      <c r="A24" s="2" t="s">
        <v>48</v>
      </c>
      <c r="B24" s="2">
        <v>1.0</v>
      </c>
      <c r="C24" s="2" t="s">
        <v>25</v>
      </c>
      <c r="D24" s="2" t="s">
        <v>49</v>
      </c>
      <c r="E24" s="2" t="s">
        <v>37</v>
      </c>
      <c r="F24" s="2" t="s">
        <v>50</v>
      </c>
    </row>
    <row r="25" ht="26.25" customHeight="1">
      <c r="A25" s="2" t="s">
        <v>51</v>
      </c>
      <c r="B25" s="2">
        <v>2.0</v>
      </c>
      <c r="C25" s="2" t="s">
        <v>23</v>
      </c>
      <c r="D25" s="2" t="s">
        <v>52</v>
      </c>
      <c r="E25" s="2" t="s">
        <v>37</v>
      </c>
      <c r="F25" s="2" t="s">
        <v>53</v>
      </c>
    </row>
    <row r="26" ht="15.0" customHeight="1">
      <c r="A26" s="2" t="s">
        <v>54</v>
      </c>
      <c r="B26" s="2">
        <v>2.0</v>
      </c>
      <c r="C26" s="2" t="s">
        <v>23</v>
      </c>
      <c r="D26" s="2" t="s">
        <v>55</v>
      </c>
      <c r="E26" s="2" t="s">
        <v>37</v>
      </c>
      <c r="F26" s="2" t="s">
        <v>56</v>
      </c>
    </row>
    <row r="27" ht="26.25" customHeight="1">
      <c r="A27" s="2" t="s">
        <v>57</v>
      </c>
      <c r="B27" s="2">
        <v>1.0</v>
      </c>
      <c r="C27" s="2" t="s">
        <v>25</v>
      </c>
      <c r="D27" s="2" t="s">
        <v>58</v>
      </c>
      <c r="E27" s="2" t="s">
        <v>37</v>
      </c>
      <c r="F27" s="2" t="s">
        <v>59</v>
      </c>
    </row>
    <row r="28" ht="26.25" customHeight="1">
      <c r="A28" s="2" t="s">
        <v>60</v>
      </c>
      <c r="B28" s="2">
        <v>2.0</v>
      </c>
      <c r="C28" s="2" t="s">
        <v>21</v>
      </c>
      <c r="D28" s="2" t="s">
        <v>61</v>
      </c>
      <c r="E28" s="2" t="s">
        <v>37</v>
      </c>
      <c r="F28" s="2" t="s">
        <v>62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9.0"/>
    <col customWidth="1" min="2" max="2" width="22.0"/>
    <col customWidth="1" min="3" max="3" width="24.0"/>
    <col customWidth="1" min="4" max="4" width="28.0"/>
    <col customWidth="1" min="5" max="5" width="8.0"/>
    <col customWidth="1" min="6" max="6" width="45.0"/>
    <col customWidth="1" min="7" max="8" width="14.0"/>
    <col customWidth="1" min="9" max="9" width="9.0"/>
    <col customWidth="1" min="10" max="10" width="36.0"/>
    <col customWidth="1" min="11" max="11" width="48.0"/>
    <col customWidth="1" min="12" max="12" width="20.0"/>
    <col customWidth="1" min="13" max="13" width="12.0"/>
    <col customWidth="1" min="14" max="14" width="14.0"/>
    <col customWidth="1" min="15" max="15" width="13.0"/>
    <col customWidth="1" min="16" max="16" width="14.0"/>
    <col customWidth="1" min="17" max="17" width="44.0"/>
    <col customWidth="1" min="18" max="26" width="8.63"/>
  </cols>
  <sheetData>
    <row r="1" ht="26.25" customHeight="1">
      <c r="A1" s="7" t="s">
        <v>63</v>
      </c>
      <c r="B1" s="7" t="s">
        <v>64</v>
      </c>
      <c r="C1" s="7" t="s">
        <v>65</v>
      </c>
      <c r="D1" s="7" t="s">
        <v>29</v>
      </c>
      <c r="E1" s="7" t="s">
        <v>30</v>
      </c>
      <c r="F1" s="7" t="s">
        <v>66</v>
      </c>
      <c r="G1" s="7" t="s">
        <v>15</v>
      </c>
      <c r="H1" s="7" t="s">
        <v>67</v>
      </c>
      <c r="I1" s="7" t="s">
        <v>68</v>
      </c>
      <c r="J1" s="7" t="s">
        <v>69</v>
      </c>
      <c r="K1" s="7" t="s">
        <v>70</v>
      </c>
      <c r="L1" s="7" t="s">
        <v>71</v>
      </c>
      <c r="M1" s="7" t="s">
        <v>72</v>
      </c>
      <c r="N1" s="7" t="s">
        <v>33</v>
      </c>
      <c r="O1" s="7" t="s">
        <v>16</v>
      </c>
      <c r="P1" s="7" t="s">
        <v>73</v>
      </c>
      <c r="Q1" s="7" t="s">
        <v>74</v>
      </c>
    </row>
    <row r="2" ht="26.25" customHeight="1">
      <c r="A2" s="8" t="s">
        <v>75</v>
      </c>
      <c r="B2" s="8" t="s">
        <v>76</v>
      </c>
      <c r="C2" s="8" t="s">
        <v>77</v>
      </c>
      <c r="D2" s="8" t="s">
        <v>35</v>
      </c>
      <c r="E2" s="8">
        <v>2.0</v>
      </c>
      <c r="F2" s="8" t="s">
        <v>78</v>
      </c>
      <c r="G2" s="8" t="s">
        <v>25</v>
      </c>
      <c r="H2" s="8" t="s">
        <v>79</v>
      </c>
      <c r="I2" s="8" t="s">
        <v>80</v>
      </c>
      <c r="J2" s="8" t="s">
        <v>81</v>
      </c>
      <c r="K2" s="8" t="s">
        <v>82</v>
      </c>
      <c r="L2" s="8" t="s">
        <v>83</v>
      </c>
      <c r="M2" s="8" t="s">
        <v>84</v>
      </c>
      <c r="N2" s="8" t="s">
        <v>37</v>
      </c>
      <c r="O2" s="8">
        <v>1.5</v>
      </c>
      <c r="P2" s="8" t="s">
        <v>85</v>
      </c>
      <c r="Q2" s="8" t="s">
        <v>86</v>
      </c>
    </row>
    <row r="3" ht="26.25" customHeight="1">
      <c r="A3" s="8" t="s">
        <v>87</v>
      </c>
      <c r="B3" s="8" t="s">
        <v>76</v>
      </c>
      <c r="C3" s="8" t="s">
        <v>88</v>
      </c>
      <c r="D3" s="8" t="s">
        <v>42</v>
      </c>
      <c r="E3" s="8">
        <v>2.0</v>
      </c>
      <c r="F3" s="8" t="s">
        <v>89</v>
      </c>
      <c r="G3" s="8" t="s">
        <v>25</v>
      </c>
      <c r="H3" s="8" t="s">
        <v>21</v>
      </c>
      <c r="I3" s="8" t="s">
        <v>80</v>
      </c>
      <c r="J3" s="8" t="s">
        <v>90</v>
      </c>
      <c r="K3" s="8" t="s">
        <v>91</v>
      </c>
      <c r="L3" s="8" t="s">
        <v>75</v>
      </c>
      <c r="M3" s="8" t="s">
        <v>84</v>
      </c>
      <c r="N3" s="8" t="s">
        <v>37</v>
      </c>
      <c r="O3" s="8">
        <v>1.5</v>
      </c>
      <c r="P3" s="8" t="s">
        <v>85</v>
      </c>
      <c r="Q3" s="8" t="s">
        <v>92</v>
      </c>
    </row>
    <row r="4" ht="26.25" customHeight="1">
      <c r="A4" s="8" t="s">
        <v>93</v>
      </c>
      <c r="B4" s="8" t="s">
        <v>76</v>
      </c>
      <c r="C4" s="8" t="s">
        <v>94</v>
      </c>
      <c r="D4" s="8" t="s">
        <v>35</v>
      </c>
      <c r="E4" s="8">
        <v>2.0</v>
      </c>
      <c r="F4" s="8" t="s">
        <v>95</v>
      </c>
      <c r="G4" s="8" t="s">
        <v>19</v>
      </c>
      <c r="H4" s="8" t="s">
        <v>25</v>
      </c>
      <c r="I4" s="8" t="s">
        <v>96</v>
      </c>
      <c r="J4" s="8" t="s">
        <v>97</v>
      </c>
      <c r="K4" s="8" t="s">
        <v>98</v>
      </c>
      <c r="L4" s="8" t="s">
        <v>75</v>
      </c>
      <c r="M4" s="8" t="s">
        <v>84</v>
      </c>
      <c r="N4" s="8" t="s">
        <v>37</v>
      </c>
      <c r="O4" s="8">
        <v>2.0</v>
      </c>
      <c r="P4" s="8" t="s">
        <v>85</v>
      </c>
      <c r="Q4" s="8" t="s">
        <v>99</v>
      </c>
    </row>
    <row r="5" ht="26.25" customHeight="1">
      <c r="A5" s="8" t="s">
        <v>100</v>
      </c>
      <c r="B5" s="8" t="s">
        <v>76</v>
      </c>
      <c r="C5" s="8" t="s">
        <v>101</v>
      </c>
      <c r="D5" s="8" t="s">
        <v>35</v>
      </c>
      <c r="E5" s="8">
        <v>2.0</v>
      </c>
      <c r="F5" s="8" t="s">
        <v>102</v>
      </c>
      <c r="G5" s="8" t="s">
        <v>19</v>
      </c>
      <c r="H5" s="8" t="s">
        <v>25</v>
      </c>
      <c r="I5" s="8" t="s">
        <v>80</v>
      </c>
      <c r="J5" s="8" t="s">
        <v>103</v>
      </c>
      <c r="K5" s="8" t="s">
        <v>104</v>
      </c>
      <c r="L5" s="8" t="s">
        <v>93</v>
      </c>
      <c r="M5" s="8" t="s">
        <v>84</v>
      </c>
      <c r="N5" s="8" t="s">
        <v>37</v>
      </c>
      <c r="O5" s="8">
        <v>3.0</v>
      </c>
      <c r="P5" s="8" t="s">
        <v>85</v>
      </c>
      <c r="Q5" s="8" t="s">
        <v>105</v>
      </c>
    </row>
    <row r="6" ht="26.25" customHeight="1">
      <c r="A6" s="8" t="s">
        <v>106</v>
      </c>
      <c r="B6" s="8" t="s">
        <v>76</v>
      </c>
      <c r="C6" s="8" t="s">
        <v>77</v>
      </c>
      <c r="D6" s="8" t="s">
        <v>35</v>
      </c>
      <c r="E6" s="8">
        <v>2.0</v>
      </c>
      <c r="F6" s="8" t="s">
        <v>107</v>
      </c>
      <c r="G6" s="8" t="s">
        <v>25</v>
      </c>
      <c r="H6" s="8" t="s">
        <v>79</v>
      </c>
      <c r="I6" s="8" t="s">
        <v>80</v>
      </c>
      <c r="J6" s="8" t="s">
        <v>108</v>
      </c>
      <c r="K6" s="8" t="s">
        <v>109</v>
      </c>
      <c r="L6" s="8" t="s">
        <v>75</v>
      </c>
      <c r="M6" s="8" t="s">
        <v>84</v>
      </c>
      <c r="N6" s="8" t="s">
        <v>37</v>
      </c>
      <c r="O6" s="8">
        <v>1.5</v>
      </c>
      <c r="P6" s="8" t="s">
        <v>110</v>
      </c>
      <c r="Q6" s="8" t="s">
        <v>111</v>
      </c>
    </row>
    <row r="7" ht="26.25" customHeight="1">
      <c r="A7" s="8" t="s">
        <v>112</v>
      </c>
      <c r="B7" s="8" t="s">
        <v>113</v>
      </c>
      <c r="C7" s="8" t="s">
        <v>114</v>
      </c>
      <c r="D7" s="8" t="s">
        <v>54</v>
      </c>
      <c r="E7" s="8">
        <v>2.0</v>
      </c>
      <c r="F7" s="8" t="s">
        <v>115</v>
      </c>
      <c r="G7" s="8" t="s">
        <v>19</v>
      </c>
      <c r="H7" s="8" t="s">
        <v>23</v>
      </c>
      <c r="I7" s="8" t="s">
        <v>80</v>
      </c>
      <c r="J7" s="8" t="s">
        <v>116</v>
      </c>
      <c r="K7" s="8" t="s">
        <v>117</v>
      </c>
      <c r="L7" s="8" t="s">
        <v>75</v>
      </c>
      <c r="M7" s="8" t="s">
        <v>84</v>
      </c>
      <c r="N7" s="8" t="s">
        <v>37</v>
      </c>
      <c r="O7" s="8">
        <v>4.0</v>
      </c>
      <c r="P7" s="8" t="s">
        <v>118</v>
      </c>
      <c r="Q7" s="8" t="s">
        <v>119</v>
      </c>
    </row>
    <row r="8" ht="26.25" customHeight="1">
      <c r="A8" s="8" t="s">
        <v>120</v>
      </c>
      <c r="B8" s="8" t="s">
        <v>113</v>
      </c>
      <c r="C8" s="8" t="s">
        <v>114</v>
      </c>
      <c r="D8" s="8" t="s">
        <v>35</v>
      </c>
      <c r="E8" s="8">
        <v>2.0</v>
      </c>
      <c r="F8" s="8" t="s">
        <v>121</v>
      </c>
      <c r="G8" s="8" t="s">
        <v>21</v>
      </c>
      <c r="H8" s="8" t="s">
        <v>25</v>
      </c>
      <c r="I8" s="8" t="s">
        <v>96</v>
      </c>
      <c r="J8" s="8" t="s">
        <v>122</v>
      </c>
      <c r="K8" s="8" t="s">
        <v>123</v>
      </c>
      <c r="L8" s="8" t="s">
        <v>112</v>
      </c>
      <c r="M8" s="8" t="s">
        <v>84</v>
      </c>
      <c r="N8" s="8" t="s">
        <v>37</v>
      </c>
      <c r="O8" s="8">
        <v>3.0</v>
      </c>
      <c r="P8" s="8" t="s">
        <v>118</v>
      </c>
      <c r="Q8" s="8" t="s">
        <v>124</v>
      </c>
    </row>
    <row r="9" ht="26.25" customHeight="1">
      <c r="A9" s="8" t="s">
        <v>125</v>
      </c>
      <c r="B9" s="8" t="s">
        <v>113</v>
      </c>
      <c r="C9" s="8" t="s">
        <v>114</v>
      </c>
      <c r="D9" s="8" t="s">
        <v>35</v>
      </c>
      <c r="E9" s="8">
        <v>2.0</v>
      </c>
      <c r="F9" s="8" t="s">
        <v>126</v>
      </c>
      <c r="G9" s="8" t="s">
        <v>19</v>
      </c>
      <c r="H9" s="8" t="s">
        <v>21</v>
      </c>
      <c r="I9" s="8" t="s">
        <v>80</v>
      </c>
      <c r="J9" s="8" t="s">
        <v>127</v>
      </c>
      <c r="K9" s="8" t="s">
        <v>128</v>
      </c>
      <c r="L9" s="8" t="s">
        <v>112</v>
      </c>
      <c r="M9" s="8" t="s">
        <v>84</v>
      </c>
      <c r="N9" s="8" t="s">
        <v>37</v>
      </c>
      <c r="O9" s="8">
        <v>5.0</v>
      </c>
      <c r="P9" s="8" t="s">
        <v>118</v>
      </c>
      <c r="Q9" s="8" t="s">
        <v>129</v>
      </c>
    </row>
    <row r="10" ht="26.25" customHeight="1">
      <c r="A10" s="8" t="s">
        <v>130</v>
      </c>
      <c r="B10" s="8" t="s">
        <v>113</v>
      </c>
      <c r="C10" s="8" t="s">
        <v>131</v>
      </c>
      <c r="D10" s="8" t="s">
        <v>35</v>
      </c>
      <c r="E10" s="8">
        <v>2.0</v>
      </c>
      <c r="F10" s="8" t="s">
        <v>132</v>
      </c>
      <c r="G10" s="8" t="s">
        <v>23</v>
      </c>
      <c r="H10" s="8" t="s">
        <v>19</v>
      </c>
      <c r="I10" s="8" t="s">
        <v>96</v>
      </c>
      <c r="J10" s="8" t="s">
        <v>133</v>
      </c>
      <c r="K10" s="8" t="s">
        <v>134</v>
      </c>
      <c r="L10" s="8" t="s">
        <v>125</v>
      </c>
      <c r="M10" s="8" t="s">
        <v>84</v>
      </c>
      <c r="N10" s="8" t="s">
        <v>37</v>
      </c>
      <c r="O10" s="8">
        <v>4.0</v>
      </c>
      <c r="P10" s="8" t="s">
        <v>118</v>
      </c>
      <c r="Q10" s="8" t="s">
        <v>135</v>
      </c>
    </row>
    <row r="11" ht="26.25" customHeight="1">
      <c r="A11" s="8" t="s">
        <v>136</v>
      </c>
      <c r="B11" s="8" t="s">
        <v>113</v>
      </c>
      <c r="C11" s="8" t="s">
        <v>137</v>
      </c>
      <c r="D11" s="8" t="s">
        <v>35</v>
      </c>
      <c r="E11" s="8">
        <v>2.0</v>
      </c>
      <c r="F11" s="8" t="s">
        <v>138</v>
      </c>
      <c r="G11" s="8" t="s">
        <v>21</v>
      </c>
      <c r="H11" s="8" t="s">
        <v>19</v>
      </c>
      <c r="I11" s="8" t="s">
        <v>96</v>
      </c>
      <c r="J11" s="8" t="s">
        <v>139</v>
      </c>
      <c r="K11" s="8" t="s">
        <v>140</v>
      </c>
      <c r="L11" s="8" t="s">
        <v>125</v>
      </c>
      <c r="M11" s="8" t="s">
        <v>141</v>
      </c>
      <c r="N11" s="8" t="s">
        <v>37</v>
      </c>
      <c r="O11" s="8">
        <v>2.0</v>
      </c>
      <c r="P11" s="8" t="s">
        <v>118</v>
      </c>
      <c r="Q11" s="8" t="s">
        <v>142</v>
      </c>
    </row>
    <row r="12" ht="26.25" customHeight="1">
      <c r="A12" s="8" t="s">
        <v>143</v>
      </c>
      <c r="B12" s="8" t="s">
        <v>113</v>
      </c>
      <c r="C12" s="8" t="s">
        <v>144</v>
      </c>
      <c r="D12" s="8" t="s">
        <v>39</v>
      </c>
      <c r="E12" s="8">
        <v>2.0</v>
      </c>
      <c r="F12" s="8" t="s">
        <v>145</v>
      </c>
      <c r="G12" s="8" t="s">
        <v>21</v>
      </c>
      <c r="H12" s="8" t="s">
        <v>19</v>
      </c>
      <c r="I12" s="8" t="s">
        <v>80</v>
      </c>
      <c r="J12" s="8" t="s">
        <v>146</v>
      </c>
      <c r="K12" s="8" t="s">
        <v>147</v>
      </c>
      <c r="L12" s="8" t="s">
        <v>125</v>
      </c>
      <c r="M12" s="8" t="s">
        <v>84</v>
      </c>
      <c r="N12" s="8" t="s">
        <v>37</v>
      </c>
      <c r="O12" s="8">
        <v>4.0</v>
      </c>
      <c r="P12" s="8" t="s">
        <v>118</v>
      </c>
      <c r="Q12" s="8" t="s">
        <v>148</v>
      </c>
    </row>
    <row r="13" ht="26.25" customHeight="1">
      <c r="A13" s="8" t="s">
        <v>149</v>
      </c>
      <c r="B13" s="8" t="s">
        <v>113</v>
      </c>
      <c r="C13" s="8" t="s">
        <v>144</v>
      </c>
      <c r="D13" s="8" t="s">
        <v>39</v>
      </c>
      <c r="E13" s="8">
        <v>2.0</v>
      </c>
      <c r="F13" s="8" t="s">
        <v>150</v>
      </c>
      <c r="G13" s="8" t="s">
        <v>19</v>
      </c>
      <c r="H13" s="8" t="s">
        <v>21</v>
      </c>
      <c r="I13" s="8" t="s">
        <v>96</v>
      </c>
      <c r="J13" s="8" t="s">
        <v>151</v>
      </c>
      <c r="K13" s="8" t="s">
        <v>152</v>
      </c>
      <c r="L13" s="8" t="s">
        <v>143</v>
      </c>
      <c r="M13" s="8" t="s">
        <v>84</v>
      </c>
      <c r="N13" s="8" t="s">
        <v>37</v>
      </c>
      <c r="O13" s="8">
        <v>2.5</v>
      </c>
      <c r="P13" s="8" t="s">
        <v>118</v>
      </c>
      <c r="Q13" s="8" t="s">
        <v>153</v>
      </c>
    </row>
    <row r="14" ht="26.25" customHeight="1">
      <c r="A14" s="8" t="s">
        <v>154</v>
      </c>
      <c r="B14" s="8" t="s">
        <v>113</v>
      </c>
      <c r="C14" s="8" t="s">
        <v>144</v>
      </c>
      <c r="D14" s="8" t="s">
        <v>39</v>
      </c>
      <c r="E14" s="8">
        <v>2.0</v>
      </c>
      <c r="F14" s="8" t="s">
        <v>155</v>
      </c>
      <c r="G14" s="8" t="s">
        <v>19</v>
      </c>
      <c r="H14" s="8" t="s">
        <v>21</v>
      </c>
      <c r="I14" s="8" t="s">
        <v>96</v>
      </c>
      <c r="J14" s="8" t="s">
        <v>156</v>
      </c>
      <c r="K14" s="8" t="s">
        <v>157</v>
      </c>
      <c r="L14" s="8" t="s">
        <v>143</v>
      </c>
      <c r="M14" s="8" t="s">
        <v>84</v>
      </c>
      <c r="N14" s="8" t="s">
        <v>37</v>
      </c>
      <c r="O14" s="8">
        <v>2.5</v>
      </c>
      <c r="P14" s="8" t="s">
        <v>118</v>
      </c>
      <c r="Q14" s="8" t="s">
        <v>158</v>
      </c>
    </row>
    <row r="15" ht="26.25" customHeight="1">
      <c r="A15" s="8" t="s">
        <v>159</v>
      </c>
      <c r="B15" s="8" t="s">
        <v>113</v>
      </c>
      <c r="C15" s="8" t="s">
        <v>144</v>
      </c>
      <c r="D15" s="8" t="s">
        <v>39</v>
      </c>
      <c r="E15" s="8">
        <v>2.0</v>
      </c>
      <c r="F15" s="8" t="s">
        <v>160</v>
      </c>
      <c r="G15" s="8" t="s">
        <v>19</v>
      </c>
      <c r="H15" s="8" t="s">
        <v>25</v>
      </c>
      <c r="I15" s="8" t="s">
        <v>96</v>
      </c>
      <c r="J15" s="8" t="s">
        <v>161</v>
      </c>
      <c r="K15" s="8" t="s">
        <v>162</v>
      </c>
      <c r="L15" s="8" t="s">
        <v>143</v>
      </c>
      <c r="M15" s="8" t="s">
        <v>84</v>
      </c>
      <c r="N15" s="8" t="s">
        <v>37</v>
      </c>
      <c r="O15" s="8">
        <v>2.5</v>
      </c>
      <c r="P15" s="8" t="s">
        <v>118</v>
      </c>
      <c r="Q15" s="8" t="s">
        <v>163</v>
      </c>
    </row>
    <row r="16" ht="26.25" customHeight="1">
      <c r="A16" s="8" t="s">
        <v>164</v>
      </c>
      <c r="B16" s="8" t="s">
        <v>113</v>
      </c>
      <c r="C16" s="8" t="s">
        <v>144</v>
      </c>
      <c r="D16" s="8" t="s">
        <v>39</v>
      </c>
      <c r="E16" s="8">
        <v>2.0</v>
      </c>
      <c r="F16" s="8" t="s">
        <v>165</v>
      </c>
      <c r="G16" s="8" t="s">
        <v>19</v>
      </c>
      <c r="H16" s="8" t="s">
        <v>25</v>
      </c>
      <c r="I16" s="8" t="s">
        <v>96</v>
      </c>
      <c r="J16" s="8" t="s">
        <v>166</v>
      </c>
      <c r="K16" s="8" t="s">
        <v>167</v>
      </c>
      <c r="L16" s="8" t="s">
        <v>159</v>
      </c>
      <c r="M16" s="8" t="s">
        <v>84</v>
      </c>
      <c r="N16" s="8" t="s">
        <v>37</v>
      </c>
      <c r="O16" s="8">
        <v>2.5</v>
      </c>
      <c r="P16" s="8" t="s">
        <v>118</v>
      </c>
      <c r="Q16" s="8" t="s">
        <v>168</v>
      </c>
    </row>
    <row r="17" ht="26.25" customHeight="1">
      <c r="A17" s="8" t="s">
        <v>169</v>
      </c>
      <c r="B17" s="8" t="s">
        <v>113</v>
      </c>
      <c r="C17" s="8" t="s">
        <v>144</v>
      </c>
      <c r="D17" s="8" t="s">
        <v>39</v>
      </c>
      <c r="E17" s="8">
        <v>2.0</v>
      </c>
      <c r="F17" s="8" t="s">
        <v>170</v>
      </c>
      <c r="G17" s="8" t="s">
        <v>19</v>
      </c>
      <c r="H17" s="8" t="s">
        <v>21</v>
      </c>
      <c r="I17" s="8" t="s">
        <v>80</v>
      </c>
      <c r="J17" s="8" t="s">
        <v>171</v>
      </c>
      <c r="K17" s="8" t="s">
        <v>172</v>
      </c>
      <c r="L17" s="8" t="s">
        <v>143</v>
      </c>
      <c r="M17" s="8" t="s">
        <v>84</v>
      </c>
      <c r="N17" s="8" t="s">
        <v>37</v>
      </c>
      <c r="O17" s="8">
        <v>4.0</v>
      </c>
      <c r="P17" s="8" t="s">
        <v>173</v>
      </c>
      <c r="Q17" s="8" t="s">
        <v>174</v>
      </c>
    </row>
    <row r="18" ht="26.25" customHeight="1">
      <c r="A18" s="8" t="s">
        <v>175</v>
      </c>
      <c r="B18" s="8" t="s">
        <v>113</v>
      </c>
      <c r="C18" s="8" t="s">
        <v>144</v>
      </c>
      <c r="D18" s="8" t="s">
        <v>39</v>
      </c>
      <c r="E18" s="8">
        <v>2.0</v>
      </c>
      <c r="F18" s="8" t="s">
        <v>176</v>
      </c>
      <c r="G18" s="8" t="s">
        <v>19</v>
      </c>
      <c r="H18" s="8" t="s">
        <v>21</v>
      </c>
      <c r="I18" s="8" t="s">
        <v>80</v>
      </c>
      <c r="J18" s="8" t="s">
        <v>177</v>
      </c>
      <c r="K18" s="8" t="s">
        <v>178</v>
      </c>
      <c r="L18" s="8" t="s">
        <v>169</v>
      </c>
      <c r="M18" s="8" t="s">
        <v>84</v>
      </c>
      <c r="N18" s="8" t="s">
        <v>37</v>
      </c>
      <c r="O18" s="8">
        <v>3.0</v>
      </c>
      <c r="P18" s="8" t="s">
        <v>173</v>
      </c>
      <c r="Q18" s="8" t="s">
        <v>179</v>
      </c>
    </row>
    <row r="19" ht="26.25" customHeight="1">
      <c r="A19" s="8" t="s">
        <v>180</v>
      </c>
      <c r="B19" s="8" t="s">
        <v>113</v>
      </c>
      <c r="C19" s="8" t="s">
        <v>181</v>
      </c>
      <c r="D19" s="8" t="s">
        <v>42</v>
      </c>
      <c r="E19" s="8">
        <v>2.0</v>
      </c>
      <c r="F19" s="8" t="s">
        <v>182</v>
      </c>
      <c r="G19" s="8" t="s">
        <v>21</v>
      </c>
      <c r="H19" s="8" t="s">
        <v>19</v>
      </c>
      <c r="I19" s="8" t="s">
        <v>80</v>
      </c>
      <c r="J19" s="8" t="s">
        <v>183</v>
      </c>
      <c r="K19" s="8" t="s">
        <v>184</v>
      </c>
      <c r="L19" s="8" t="s">
        <v>125</v>
      </c>
      <c r="M19" s="8" t="s">
        <v>84</v>
      </c>
      <c r="N19" s="8" t="s">
        <v>37</v>
      </c>
      <c r="O19" s="8">
        <v>4.0</v>
      </c>
      <c r="P19" s="8" t="s">
        <v>118</v>
      </c>
      <c r="Q19" s="8" t="s">
        <v>185</v>
      </c>
    </row>
    <row r="20" ht="39.0" customHeight="1">
      <c r="A20" s="8" t="s">
        <v>186</v>
      </c>
      <c r="B20" s="8" t="s">
        <v>113</v>
      </c>
      <c r="C20" s="8" t="s">
        <v>181</v>
      </c>
      <c r="D20" s="8" t="s">
        <v>42</v>
      </c>
      <c r="E20" s="8">
        <v>2.0</v>
      </c>
      <c r="F20" s="8" t="s">
        <v>187</v>
      </c>
      <c r="G20" s="8" t="s">
        <v>21</v>
      </c>
      <c r="H20" s="8" t="s">
        <v>23</v>
      </c>
      <c r="I20" s="8" t="s">
        <v>96</v>
      </c>
      <c r="J20" s="8" t="s">
        <v>188</v>
      </c>
      <c r="K20" s="8" t="s">
        <v>189</v>
      </c>
      <c r="L20" s="8" t="s">
        <v>180</v>
      </c>
      <c r="M20" s="8" t="s">
        <v>141</v>
      </c>
      <c r="N20" s="8" t="s">
        <v>37</v>
      </c>
      <c r="O20" s="8">
        <v>2.5</v>
      </c>
      <c r="P20" s="8" t="s">
        <v>118</v>
      </c>
      <c r="Q20" s="8" t="s">
        <v>190</v>
      </c>
    </row>
    <row r="21" ht="26.25" customHeight="1">
      <c r="A21" s="8" t="s">
        <v>191</v>
      </c>
      <c r="B21" s="8" t="s">
        <v>113</v>
      </c>
      <c r="C21" s="8" t="s">
        <v>181</v>
      </c>
      <c r="D21" s="8" t="s">
        <v>42</v>
      </c>
      <c r="E21" s="8">
        <v>2.0</v>
      </c>
      <c r="F21" s="8" t="s">
        <v>192</v>
      </c>
      <c r="G21" s="8" t="s">
        <v>21</v>
      </c>
      <c r="H21" s="8" t="s">
        <v>25</v>
      </c>
      <c r="I21" s="8" t="s">
        <v>96</v>
      </c>
      <c r="J21" s="8" t="s">
        <v>193</v>
      </c>
      <c r="K21" s="8" t="s">
        <v>194</v>
      </c>
      <c r="L21" s="8" t="s">
        <v>125</v>
      </c>
      <c r="M21" s="8" t="s">
        <v>84</v>
      </c>
      <c r="N21" s="8" t="s">
        <v>37</v>
      </c>
      <c r="O21" s="8">
        <v>2.0</v>
      </c>
      <c r="P21" s="8" t="s">
        <v>118</v>
      </c>
      <c r="Q21" s="8" t="s">
        <v>195</v>
      </c>
    </row>
    <row r="22" ht="26.25" customHeight="1">
      <c r="A22" s="8" t="s">
        <v>196</v>
      </c>
      <c r="B22" s="8" t="s">
        <v>113</v>
      </c>
      <c r="C22" s="8" t="s">
        <v>197</v>
      </c>
      <c r="D22" s="8" t="s">
        <v>42</v>
      </c>
      <c r="E22" s="8">
        <v>2.0</v>
      </c>
      <c r="F22" s="8" t="s">
        <v>198</v>
      </c>
      <c r="G22" s="8" t="s">
        <v>21</v>
      </c>
      <c r="H22" s="8" t="s">
        <v>25</v>
      </c>
      <c r="I22" s="8" t="s">
        <v>80</v>
      </c>
      <c r="J22" s="8" t="s">
        <v>199</v>
      </c>
      <c r="K22" s="8" t="s">
        <v>200</v>
      </c>
      <c r="L22" s="8" t="s">
        <v>191</v>
      </c>
      <c r="M22" s="8" t="s">
        <v>84</v>
      </c>
      <c r="N22" s="8" t="s">
        <v>37</v>
      </c>
      <c r="O22" s="8">
        <v>3.0</v>
      </c>
      <c r="P22" s="8" t="s">
        <v>118</v>
      </c>
      <c r="Q22" s="8" t="s">
        <v>201</v>
      </c>
    </row>
    <row r="23" ht="26.25" customHeight="1">
      <c r="A23" s="8" t="s">
        <v>202</v>
      </c>
      <c r="B23" s="8" t="s">
        <v>113</v>
      </c>
      <c r="C23" s="8" t="s">
        <v>197</v>
      </c>
      <c r="D23" s="8" t="s">
        <v>42</v>
      </c>
      <c r="E23" s="8">
        <v>2.0</v>
      </c>
      <c r="F23" s="8" t="s">
        <v>203</v>
      </c>
      <c r="G23" s="8" t="s">
        <v>21</v>
      </c>
      <c r="H23" s="8" t="s">
        <v>19</v>
      </c>
      <c r="I23" s="8" t="s">
        <v>80</v>
      </c>
      <c r="J23" s="8" t="s">
        <v>204</v>
      </c>
      <c r="K23" s="8" t="s">
        <v>205</v>
      </c>
      <c r="L23" s="8" t="s">
        <v>125</v>
      </c>
      <c r="M23" s="8" t="s">
        <v>84</v>
      </c>
      <c r="N23" s="8" t="s">
        <v>37</v>
      </c>
      <c r="O23" s="8">
        <v>3.0</v>
      </c>
      <c r="P23" s="8" t="s">
        <v>118</v>
      </c>
      <c r="Q23" s="8" t="s">
        <v>206</v>
      </c>
    </row>
    <row r="24" ht="26.25" customHeight="1">
      <c r="A24" s="8" t="s">
        <v>207</v>
      </c>
      <c r="B24" s="8" t="s">
        <v>113</v>
      </c>
      <c r="C24" s="8" t="s">
        <v>181</v>
      </c>
      <c r="D24" s="8" t="s">
        <v>42</v>
      </c>
      <c r="E24" s="8">
        <v>2.0</v>
      </c>
      <c r="F24" s="8" t="s">
        <v>208</v>
      </c>
      <c r="G24" s="8" t="s">
        <v>21</v>
      </c>
      <c r="H24" s="8" t="s">
        <v>19</v>
      </c>
      <c r="I24" s="8" t="s">
        <v>96</v>
      </c>
      <c r="J24" s="8" t="s">
        <v>209</v>
      </c>
      <c r="K24" s="8" t="s">
        <v>210</v>
      </c>
      <c r="L24" s="8" t="s">
        <v>211</v>
      </c>
      <c r="M24" s="8" t="s">
        <v>84</v>
      </c>
      <c r="N24" s="8" t="s">
        <v>37</v>
      </c>
      <c r="O24" s="8">
        <v>2.5</v>
      </c>
      <c r="P24" s="8" t="s">
        <v>173</v>
      </c>
      <c r="Q24" s="8" t="s">
        <v>212</v>
      </c>
    </row>
    <row r="25" ht="26.25" customHeight="1">
      <c r="A25" s="8" t="s">
        <v>213</v>
      </c>
      <c r="B25" s="8" t="s">
        <v>113</v>
      </c>
      <c r="C25" s="8" t="s">
        <v>181</v>
      </c>
      <c r="D25" s="8" t="s">
        <v>42</v>
      </c>
      <c r="E25" s="8">
        <v>2.0</v>
      </c>
      <c r="F25" s="8" t="s">
        <v>214</v>
      </c>
      <c r="G25" s="8" t="s">
        <v>21</v>
      </c>
      <c r="H25" s="8" t="s">
        <v>25</v>
      </c>
      <c r="I25" s="8" t="s">
        <v>96</v>
      </c>
      <c r="J25" s="8" t="s">
        <v>215</v>
      </c>
      <c r="K25" s="8" t="s">
        <v>216</v>
      </c>
      <c r="L25" s="8" t="s">
        <v>217</v>
      </c>
      <c r="M25" s="8" t="s">
        <v>141</v>
      </c>
      <c r="N25" s="8" t="s">
        <v>37</v>
      </c>
      <c r="O25" s="8">
        <v>2.0</v>
      </c>
      <c r="P25" s="8" t="s">
        <v>173</v>
      </c>
      <c r="Q25" s="8" t="s">
        <v>218</v>
      </c>
    </row>
    <row r="26" ht="39.0" customHeight="1">
      <c r="A26" s="8" t="s">
        <v>219</v>
      </c>
      <c r="B26" s="8" t="s">
        <v>220</v>
      </c>
      <c r="C26" s="8" t="s">
        <v>221</v>
      </c>
      <c r="D26" s="8" t="s">
        <v>45</v>
      </c>
      <c r="E26" s="8">
        <v>1.0</v>
      </c>
      <c r="F26" s="8" t="s">
        <v>222</v>
      </c>
      <c r="G26" s="8" t="s">
        <v>25</v>
      </c>
      <c r="H26" s="8" t="s">
        <v>19</v>
      </c>
      <c r="I26" s="8" t="s">
        <v>80</v>
      </c>
      <c r="J26" s="8" t="s">
        <v>223</v>
      </c>
      <c r="K26" s="8" t="s">
        <v>224</v>
      </c>
      <c r="L26" s="8" t="s">
        <v>100</v>
      </c>
      <c r="M26" s="8" t="s">
        <v>84</v>
      </c>
      <c r="N26" s="8" t="s">
        <v>37</v>
      </c>
      <c r="O26" s="8">
        <v>3.0</v>
      </c>
      <c r="P26" s="8" t="s">
        <v>173</v>
      </c>
      <c r="Q26" s="8" t="s">
        <v>225</v>
      </c>
    </row>
    <row r="27" ht="39.0" customHeight="1">
      <c r="A27" s="8" t="s">
        <v>226</v>
      </c>
      <c r="B27" s="8" t="s">
        <v>220</v>
      </c>
      <c r="C27" s="8" t="s">
        <v>221</v>
      </c>
      <c r="D27" s="8" t="s">
        <v>45</v>
      </c>
      <c r="E27" s="8">
        <v>1.0</v>
      </c>
      <c r="F27" s="8" t="s">
        <v>227</v>
      </c>
      <c r="G27" s="8" t="s">
        <v>25</v>
      </c>
      <c r="H27" s="8" t="s">
        <v>19</v>
      </c>
      <c r="I27" s="8" t="s">
        <v>80</v>
      </c>
      <c r="J27" s="8" t="s">
        <v>228</v>
      </c>
      <c r="K27" s="8" t="s">
        <v>229</v>
      </c>
      <c r="L27" s="8" t="s">
        <v>219</v>
      </c>
      <c r="M27" s="8" t="s">
        <v>84</v>
      </c>
      <c r="N27" s="8" t="s">
        <v>37</v>
      </c>
      <c r="O27" s="8">
        <v>3.0</v>
      </c>
      <c r="P27" s="8" t="s">
        <v>173</v>
      </c>
      <c r="Q27" s="8" t="s">
        <v>230</v>
      </c>
    </row>
    <row r="28" ht="39.0" customHeight="1">
      <c r="A28" s="8" t="s">
        <v>231</v>
      </c>
      <c r="B28" s="8" t="s">
        <v>220</v>
      </c>
      <c r="C28" s="8" t="s">
        <v>221</v>
      </c>
      <c r="D28" s="8" t="s">
        <v>45</v>
      </c>
      <c r="E28" s="8">
        <v>1.0</v>
      </c>
      <c r="F28" s="8" t="s">
        <v>232</v>
      </c>
      <c r="G28" s="8" t="s">
        <v>25</v>
      </c>
      <c r="H28" s="8" t="s">
        <v>21</v>
      </c>
      <c r="I28" s="8" t="s">
        <v>96</v>
      </c>
      <c r="J28" s="8" t="s">
        <v>233</v>
      </c>
      <c r="K28" s="8" t="s">
        <v>234</v>
      </c>
      <c r="L28" s="8" t="s">
        <v>226</v>
      </c>
      <c r="M28" s="8" t="s">
        <v>84</v>
      </c>
      <c r="N28" s="8" t="s">
        <v>37</v>
      </c>
      <c r="O28" s="8">
        <v>2.0</v>
      </c>
      <c r="P28" s="8" t="s">
        <v>173</v>
      </c>
      <c r="Q28" s="8" t="s">
        <v>235</v>
      </c>
    </row>
    <row r="29" ht="39.0" customHeight="1">
      <c r="A29" s="8" t="s">
        <v>236</v>
      </c>
      <c r="B29" s="8" t="s">
        <v>220</v>
      </c>
      <c r="C29" s="8" t="s">
        <v>221</v>
      </c>
      <c r="D29" s="8" t="s">
        <v>45</v>
      </c>
      <c r="E29" s="8">
        <v>1.0</v>
      </c>
      <c r="F29" s="8" t="s">
        <v>237</v>
      </c>
      <c r="G29" s="8" t="s">
        <v>25</v>
      </c>
      <c r="H29" s="8" t="s">
        <v>19</v>
      </c>
      <c r="I29" s="8" t="s">
        <v>80</v>
      </c>
      <c r="J29" s="8" t="s">
        <v>238</v>
      </c>
      <c r="K29" s="8" t="s">
        <v>239</v>
      </c>
      <c r="L29" s="8" t="s">
        <v>231</v>
      </c>
      <c r="M29" s="8" t="s">
        <v>84</v>
      </c>
      <c r="N29" s="8" t="s">
        <v>37</v>
      </c>
      <c r="O29" s="8">
        <v>3.5</v>
      </c>
      <c r="P29" s="8" t="s">
        <v>173</v>
      </c>
      <c r="Q29" s="8" t="s">
        <v>240</v>
      </c>
    </row>
    <row r="30" ht="39.0" customHeight="1">
      <c r="A30" s="8" t="s">
        <v>241</v>
      </c>
      <c r="B30" s="8" t="s">
        <v>220</v>
      </c>
      <c r="C30" s="8" t="s">
        <v>242</v>
      </c>
      <c r="D30" s="8" t="s">
        <v>48</v>
      </c>
      <c r="E30" s="8">
        <v>1.0</v>
      </c>
      <c r="F30" s="8" t="s">
        <v>243</v>
      </c>
      <c r="G30" s="8" t="s">
        <v>25</v>
      </c>
      <c r="H30" s="8" t="s">
        <v>21</v>
      </c>
      <c r="I30" s="8" t="s">
        <v>80</v>
      </c>
      <c r="J30" s="8" t="s">
        <v>244</v>
      </c>
      <c r="K30" s="8" t="s">
        <v>245</v>
      </c>
      <c r="L30" s="8" t="s">
        <v>125</v>
      </c>
      <c r="M30" s="8" t="s">
        <v>84</v>
      </c>
      <c r="N30" s="8" t="s">
        <v>37</v>
      </c>
      <c r="O30" s="8">
        <v>2.0</v>
      </c>
      <c r="P30" s="8" t="s">
        <v>173</v>
      </c>
      <c r="Q30" s="8" t="s">
        <v>246</v>
      </c>
    </row>
    <row r="31" ht="39.0" customHeight="1">
      <c r="A31" s="8" t="s">
        <v>247</v>
      </c>
      <c r="B31" s="8" t="s">
        <v>220</v>
      </c>
      <c r="C31" s="8" t="s">
        <v>242</v>
      </c>
      <c r="D31" s="8" t="s">
        <v>48</v>
      </c>
      <c r="E31" s="8">
        <v>1.0</v>
      </c>
      <c r="F31" s="8" t="s">
        <v>248</v>
      </c>
      <c r="G31" s="8" t="s">
        <v>25</v>
      </c>
      <c r="H31" s="8" t="s">
        <v>21</v>
      </c>
      <c r="I31" s="8" t="s">
        <v>80</v>
      </c>
      <c r="J31" s="8" t="s">
        <v>249</v>
      </c>
      <c r="K31" s="8" t="s">
        <v>250</v>
      </c>
      <c r="L31" s="8" t="s">
        <v>241</v>
      </c>
      <c r="M31" s="8" t="s">
        <v>84</v>
      </c>
      <c r="N31" s="8" t="s">
        <v>37</v>
      </c>
      <c r="O31" s="8">
        <v>3.0</v>
      </c>
      <c r="P31" s="8" t="s">
        <v>173</v>
      </c>
      <c r="Q31" s="8" t="s">
        <v>251</v>
      </c>
    </row>
    <row r="32" ht="39.0" customHeight="1">
      <c r="A32" s="8" t="s">
        <v>252</v>
      </c>
      <c r="B32" s="8" t="s">
        <v>220</v>
      </c>
      <c r="C32" s="8" t="s">
        <v>242</v>
      </c>
      <c r="D32" s="8" t="s">
        <v>48</v>
      </c>
      <c r="E32" s="8">
        <v>1.0</v>
      </c>
      <c r="F32" s="8" t="s">
        <v>253</v>
      </c>
      <c r="G32" s="8" t="s">
        <v>25</v>
      </c>
      <c r="H32" s="8" t="s">
        <v>23</v>
      </c>
      <c r="I32" s="8" t="s">
        <v>96</v>
      </c>
      <c r="J32" s="8" t="s">
        <v>254</v>
      </c>
      <c r="K32" s="8" t="s">
        <v>255</v>
      </c>
      <c r="L32" s="8" t="s">
        <v>247</v>
      </c>
      <c r="M32" s="8" t="s">
        <v>84</v>
      </c>
      <c r="N32" s="8" t="s">
        <v>37</v>
      </c>
      <c r="O32" s="8">
        <v>2.0</v>
      </c>
      <c r="P32" s="8" t="s">
        <v>173</v>
      </c>
      <c r="Q32" s="8" t="s">
        <v>256</v>
      </c>
    </row>
    <row r="33" ht="39.0" customHeight="1">
      <c r="A33" s="8" t="s">
        <v>257</v>
      </c>
      <c r="B33" s="8" t="s">
        <v>220</v>
      </c>
      <c r="C33" s="8" t="s">
        <v>242</v>
      </c>
      <c r="D33" s="8" t="s">
        <v>48</v>
      </c>
      <c r="E33" s="8">
        <v>1.0</v>
      </c>
      <c r="F33" s="8" t="s">
        <v>258</v>
      </c>
      <c r="G33" s="8" t="s">
        <v>25</v>
      </c>
      <c r="H33" s="8" t="s">
        <v>79</v>
      </c>
      <c r="I33" s="8" t="s">
        <v>96</v>
      </c>
      <c r="J33" s="8" t="s">
        <v>259</v>
      </c>
      <c r="K33" s="8" t="s">
        <v>260</v>
      </c>
      <c r="L33" s="8" t="s">
        <v>252</v>
      </c>
      <c r="M33" s="8" t="s">
        <v>141</v>
      </c>
      <c r="N33" s="8" t="s">
        <v>37</v>
      </c>
      <c r="O33" s="8">
        <v>2.0</v>
      </c>
      <c r="P33" s="8" t="s">
        <v>173</v>
      </c>
      <c r="Q33" s="8" t="s">
        <v>261</v>
      </c>
    </row>
    <row r="34" ht="39.0" customHeight="1">
      <c r="A34" s="8" t="s">
        <v>262</v>
      </c>
      <c r="B34" s="8" t="s">
        <v>220</v>
      </c>
      <c r="C34" s="8" t="s">
        <v>263</v>
      </c>
      <c r="D34" s="8" t="s">
        <v>51</v>
      </c>
      <c r="E34" s="8">
        <v>2.0</v>
      </c>
      <c r="F34" s="8" t="s">
        <v>264</v>
      </c>
      <c r="G34" s="8" t="s">
        <v>23</v>
      </c>
      <c r="H34" s="8" t="s">
        <v>19</v>
      </c>
      <c r="I34" s="8" t="s">
        <v>80</v>
      </c>
      <c r="J34" s="8" t="s">
        <v>265</v>
      </c>
      <c r="K34" s="8" t="s">
        <v>266</v>
      </c>
      <c r="L34" s="8" t="s">
        <v>130</v>
      </c>
      <c r="M34" s="8" t="s">
        <v>84</v>
      </c>
      <c r="N34" s="8" t="s">
        <v>37</v>
      </c>
      <c r="O34" s="8">
        <v>2.5</v>
      </c>
      <c r="P34" s="8" t="s">
        <v>173</v>
      </c>
      <c r="Q34" s="8" t="s">
        <v>267</v>
      </c>
    </row>
    <row r="35" ht="39.0" customHeight="1">
      <c r="A35" s="8" t="s">
        <v>268</v>
      </c>
      <c r="B35" s="8" t="s">
        <v>220</v>
      </c>
      <c r="C35" s="8" t="s">
        <v>263</v>
      </c>
      <c r="D35" s="8" t="s">
        <v>51</v>
      </c>
      <c r="E35" s="8">
        <v>2.0</v>
      </c>
      <c r="F35" s="8" t="s">
        <v>269</v>
      </c>
      <c r="G35" s="8" t="s">
        <v>23</v>
      </c>
      <c r="H35" s="8" t="s">
        <v>19</v>
      </c>
      <c r="I35" s="8" t="s">
        <v>80</v>
      </c>
      <c r="J35" s="8" t="s">
        <v>270</v>
      </c>
      <c r="K35" s="8" t="s">
        <v>271</v>
      </c>
      <c r="L35" s="8" t="s">
        <v>262</v>
      </c>
      <c r="M35" s="8" t="s">
        <v>84</v>
      </c>
      <c r="N35" s="8" t="s">
        <v>37</v>
      </c>
      <c r="O35" s="8">
        <v>3.0</v>
      </c>
      <c r="P35" s="8" t="s">
        <v>173</v>
      </c>
      <c r="Q35" s="8" t="s">
        <v>272</v>
      </c>
    </row>
    <row r="36" ht="39.0" customHeight="1">
      <c r="A36" s="8" t="s">
        <v>273</v>
      </c>
      <c r="B36" s="8" t="s">
        <v>220</v>
      </c>
      <c r="C36" s="8" t="s">
        <v>263</v>
      </c>
      <c r="D36" s="8" t="s">
        <v>51</v>
      </c>
      <c r="E36" s="8">
        <v>2.0</v>
      </c>
      <c r="F36" s="8" t="s">
        <v>274</v>
      </c>
      <c r="G36" s="8" t="s">
        <v>23</v>
      </c>
      <c r="H36" s="8" t="s">
        <v>19</v>
      </c>
      <c r="I36" s="8" t="s">
        <v>96</v>
      </c>
      <c r="J36" s="8" t="s">
        <v>275</v>
      </c>
      <c r="K36" s="8" t="s">
        <v>276</v>
      </c>
      <c r="L36" s="8" t="s">
        <v>262</v>
      </c>
      <c r="M36" s="8" t="s">
        <v>84</v>
      </c>
      <c r="N36" s="8" t="s">
        <v>37</v>
      </c>
      <c r="O36" s="8">
        <v>2.0</v>
      </c>
      <c r="P36" s="8" t="s">
        <v>173</v>
      </c>
      <c r="Q36" s="8" t="s">
        <v>277</v>
      </c>
    </row>
    <row r="37" ht="39.0" customHeight="1">
      <c r="A37" s="8" t="s">
        <v>278</v>
      </c>
      <c r="B37" s="8" t="s">
        <v>220</v>
      </c>
      <c r="C37" s="8" t="s">
        <v>263</v>
      </c>
      <c r="D37" s="8" t="s">
        <v>51</v>
      </c>
      <c r="E37" s="8">
        <v>2.0</v>
      </c>
      <c r="F37" s="8" t="s">
        <v>279</v>
      </c>
      <c r="G37" s="8" t="s">
        <v>23</v>
      </c>
      <c r="H37" s="8" t="s">
        <v>19</v>
      </c>
      <c r="I37" s="8" t="s">
        <v>80</v>
      </c>
      <c r="J37" s="8" t="s">
        <v>280</v>
      </c>
      <c r="K37" s="8" t="s">
        <v>281</v>
      </c>
      <c r="L37" s="8" t="s">
        <v>268</v>
      </c>
      <c r="M37" s="8" t="s">
        <v>84</v>
      </c>
      <c r="N37" s="8" t="s">
        <v>37</v>
      </c>
      <c r="O37" s="8">
        <v>3.0</v>
      </c>
      <c r="P37" s="8" t="s">
        <v>173</v>
      </c>
      <c r="Q37" s="8" t="s">
        <v>282</v>
      </c>
    </row>
    <row r="38" ht="39.0" customHeight="1">
      <c r="A38" s="8" t="s">
        <v>283</v>
      </c>
      <c r="B38" s="8" t="s">
        <v>220</v>
      </c>
      <c r="C38" s="8" t="s">
        <v>263</v>
      </c>
      <c r="D38" s="8" t="s">
        <v>51</v>
      </c>
      <c r="E38" s="8">
        <v>2.0</v>
      </c>
      <c r="F38" s="8" t="s">
        <v>284</v>
      </c>
      <c r="G38" s="8" t="s">
        <v>23</v>
      </c>
      <c r="H38" s="8" t="s">
        <v>19</v>
      </c>
      <c r="I38" s="8" t="s">
        <v>80</v>
      </c>
      <c r="J38" s="8" t="s">
        <v>285</v>
      </c>
      <c r="K38" s="8" t="s">
        <v>286</v>
      </c>
      <c r="L38" s="8" t="s">
        <v>278</v>
      </c>
      <c r="M38" s="8" t="s">
        <v>84</v>
      </c>
      <c r="N38" s="8" t="s">
        <v>37</v>
      </c>
      <c r="O38" s="8">
        <v>3.0</v>
      </c>
      <c r="P38" s="8" t="s">
        <v>173</v>
      </c>
      <c r="Q38" s="8" t="s">
        <v>287</v>
      </c>
    </row>
    <row r="39" ht="39.0" customHeight="1">
      <c r="A39" s="8" t="s">
        <v>288</v>
      </c>
      <c r="B39" s="8" t="s">
        <v>220</v>
      </c>
      <c r="C39" s="8" t="s">
        <v>263</v>
      </c>
      <c r="D39" s="8" t="s">
        <v>51</v>
      </c>
      <c r="E39" s="8">
        <v>2.0</v>
      </c>
      <c r="F39" s="8" t="s">
        <v>289</v>
      </c>
      <c r="G39" s="8" t="s">
        <v>23</v>
      </c>
      <c r="H39" s="8" t="s">
        <v>21</v>
      </c>
      <c r="I39" s="8" t="s">
        <v>96</v>
      </c>
      <c r="J39" s="8" t="s">
        <v>290</v>
      </c>
      <c r="K39" s="8" t="s">
        <v>291</v>
      </c>
      <c r="L39" s="8" t="s">
        <v>283</v>
      </c>
      <c r="M39" s="8" t="s">
        <v>141</v>
      </c>
      <c r="N39" s="8" t="s">
        <v>37</v>
      </c>
      <c r="O39" s="8">
        <v>2.0</v>
      </c>
      <c r="P39" s="8" t="s">
        <v>173</v>
      </c>
      <c r="Q39" s="8" t="s">
        <v>292</v>
      </c>
    </row>
    <row r="40" ht="39.0" customHeight="1">
      <c r="A40" s="8" t="s">
        <v>293</v>
      </c>
      <c r="B40" s="8" t="s">
        <v>220</v>
      </c>
      <c r="C40" s="8" t="s">
        <v>294</v>
      </c>
      <c r="D40" s="8" t="s">
        <v>54</v>
      </c>
      <c r="E40" s="8">
        <v>2.0</v>
      </c>
      <c r="F40" s="8" t="s">
        <v>295</v>
      </c>
      <c r="G40" s="8" t="s">
        <v>23</v>
      </c>
      <c r="H40" s="8" t="s">
        <v>21</v>
      </c>
      <c r="I40" s="8" t="s">
        <v>80</v>
      </c>
      <c r="J40" s="8" t="s">
        <v>296</v>
      </c>
      <c r="K40" s="8" t="s">
        <v>297</v>
      </c>
      <c r="L40" s="8" t="s">
        <v>112</v>
      </c>
      <c r="M40" s="8" t="s">
        <v>84</v>
      </c>
      <c r="N40" s="8" t="s">
        <v>37</v>
      </c>
      <c r="O40" s="8">
        <v>4.0</v>
      </c>
      <c r="P40" s="8" t="s">
        <v>173</v>
      </c>
      <c r="Q40" s="8" t="s">
        <v>298</v>
      </c>
    </row>
    <row r="41" ht="39.0" customHeight="1">
      <c r="A41" s="8" t="s">
        <v>299</v>
      </c>
      <c r="B41" s="8" t="s">
        <v>220</v>
      </c>
      <c r="C41" s="8" t="s">
        <v>294</v>
      </c>
      <c r="D41" s="8" t="s">
        <v>54</v>
      </c>
      <c r="E41" s="8">
        <v>2.0</v>
      </c>
      <c r="F41" s="8" t="s">
        <v>300</v>
      </c>
      <c r="G41" s="8" t="s">
        <v>23</v>
      </c>
      <c r="H41" s="8" t="s">
        <v>21</v>
      </c>
      <c r="I41" s="8" t="s">
        <v>96</v>
      </c>
      <c r="J41" s="8" t="s">
        <v>301</v>
      </c>
      <c r="K41" s="8" t="s">
        <v>302</v>
      </c>
      <c r="L41" s="8" t="s">
        <v>293</v>
      </c>
      <c r="M41" s="8" t="s">
        <v>84</v>
      </c>
      <c r="N41" s="8" t="s">
        <v>37</v>
      </c>
      <c r="O41" s="8">
        <v>3.0</v>
      </c>
      <c r="P41" s="8" t="s">
        <v>173</v>
      </c>
      <c r="Q41" s="8" t="s">
        <v>303</v>
      </c>
    </row>
    <row r="42" ht="39.0" customHeight="1">
      <c r="A42" s="8" t="s">
        <v>304</v>
      </c>
      <c r="B42" s="8" t="s">
        <v>220</v>
      </c>
      <c r="C42" s="8" t="s">
        <v>305</v>
      </c>
      <c r="D42" s="8" t="s">
        <v>54</v>
      </c>
      <c r="E42" s="8">
        <v>2.0</v>
      </c>
      <c r="F42" s="8" t="s">
        <v>306</v>
      </c>
      <c r="G42" s="8" t="s">
        <v>23</v>
      </c>
      <c r="H42" s="8" t="s">
        <v>21</v>
      </c>
      <c r="I42" s="8" t="s">
        <v>80</v>
      </c>
      <c r="J42" s="8" t="s">
        <v>307</v>
      </c>
      <c r="K42" s="8" t="s">
        <v>308</v>
      </c>
      <c r="L42" s="8" t="s">
        <v>309</v>
      </c>
      <c r="M42" s="8" t="s">
        <v>84</v>
      </c>
      <c r="N42" s="8" t="s">
        <v>37</v>
      </c>
      <c r="O42" s="8">
        <v>4.0</v>
      </c>
      <c r="P42" s="8" t="s">
        <v>173</v>
      </c>
      <c r="Q42" s="8" t="s">
        <v>310</v>
      </c>
    </row>
    <row r="43" ht="39.0" customHeight="1">
      <c r="A43" s="8" t="s">
        <v>311</v>
      </c>
      <c r="B43" s="8" t="s">
        <v>220</v>
      </c>
      <c r="C43" s="8" t="s">
        <v>312</v>
      </c>
      <c r="D43" s="8" t="s">
        <v>54</v>
      </c>
      <c r="E43" s="8">
        <v>2.0</v>
      </c>
      <c r="F43" s="8" t="s">
        <v>313</v>
      </c>
      <c r="G43" s="8" t="s">
        <v>23</v>
      </c>
      <c r="H43" s="8" t="s">
        <v>25</v>
      </c>
      <c r="I43" s="8" t="s">
        <v>80</v>
      </c>
      <c r="J43" s="8" t="s">
        <v>314</v>
      </c>
      <c r="K43" s="8" t="s">
        <v>315</v>
      </c>
      <c r="L43" s="8" t="s">
        <v>304</v>
      </c>
      <c r="M43" s="8" t="s">
        <v>84</v>
      </c>
      <c r="N43" s="8" t="s">
        <v>37</v>
      </c>
      <c r="O43" s="8">
        <v>2.0</v>
      </c>
      <c r="P43" s="8" t="s">
        <v>173</v>
      </c>
      <c r="Q43" s="8" t="s">
        <v>316</v>
      </c>
    </row>
    <row r="44" ht="39.0" customHeight="1">
      <c r="A44" s="8" t="s">
        <v>317</v>
      </c>
      <c r="B44" s="8" t="s">
        <v>220</v>
      </c>
      <c r="C44" s="8" t="s">
        <v>312</v>
      </c>
      <c r="D44" s="8" t="s">
        <v>54</v>
      </c>
      <c r="E44" s="8">
        <v>2.0</v>
      </c>
      <c r="F44" s="8" t="s">
        <v>318</v>
      </c>
      <c r="G44" s="8" t="s">
        <v>23</v>
      </c>
      <c r="H44" s="8" t="s">
        <v>21</v>
      </c>
      <c r="I44" s="8" t="s">
        <v>96</v>
      </c>
      <c r="J44" s="8" t="s">
        <v>319</v>
      </c>
      <c r="K44" s="8" t="s">
        <v>320</v>
      </c>
      <c r="L44" s="8" t="s">
        <v>311</v>
      </c>
      <c r="M44" s="8" t="s">
        <v>84</v>
      </c>
      <c r="N44" s="8" t="s">
        <v>37</v>
      </c>
      <c r="O44" s="8">
        <v>2.5</v>
      </c>
      <c r="P44" s="8" t="s">
        <v>173</v>
      </c>
      <c r="Q44" s="8" t="s">
        <v>321</v>
      </c>
    </row>
    <row r="45" ht="39.0" customHeight="1">
      <c r="A45" s="8" t="s">
        <v>322</v>
      </c>
      <c r="B45" s="8" t="s">
        <v>220</v>
      </c>
      <c r="C45" s="8" t="s">
        <v>305</v>
      </c>
      <c r="D45" s="8" t="s">
        <v>54</v>
      </c>
      <c r="E45" s="8">
        <v>2.0</v>
      </c>
      <c r="F45" s="8" t="s">
        <v>323</v>
      </c>
      <c r="G45" s="8" t="s">
        <v>21</v>
      </c>
      <c r="H45" s="8" t="s">
        <v>23</v>
      </c>
      <c r="I45" s="8" t="s">
        <v>96</v>
      </c>
      <c r="J45" s="8" t="s">
        <v>324</v>
      </c>
      <c r="K45" s="8" t="s">
        <v>325</v>
      </c>
      <c r="L45" s="8" t="s">
        <v>304</v>
      </c>
      <c r="M45" s="8" t="s">
        <v>141</v>
      </c>
      <c r="N45" s="8" t="s">
        <v>37</v>
      </c>
      <c r="O45" s="8">
        <v>2.0</v>
      </c>
      <c r="P45" s="8" t="s">
        <v>173</v>
      </c>
      <c r="Q45" s="8" t="s">
        <v>326</v>
      </c>
    </row>
    <row r="46" ht="39.0" customHeight="1">
      <c r="A46" s="8" t="s">
        <v>327</v>
      </c>
      <c r="B46" s="8" t="s">
        <v>328</v>
      </c>
      <c r="C46" s="8" t="s">
        <v>329</v>
      </c>
      <c r="D46" s="8" t="s">
        <v>57</v>
      </c>
      <c r="E46" s="8">
        <v>1.0</v>
      </c>
      <c r="F46" s="8" t="s">
        <v>330</v>
      </c>
      <c r="G46" s="8" t="s">
        <v>25</v>
      </c>
      <c r="H46" s="8" t="s">
        <v>19</v>
      </c>
      <c r="I46" s="8" t="s">
        <v>80</v>
      </c>
      <c r="J46" s="8" t="s">
        <v>58</v>
      </c>
      <c r="K46" s="8" t="s">
        <v>331</v>
      </c>
      <c r="L46" s="8" t="s">
        <v>100</v>
      </c>
      <c r="M46" s="8" t="s">
        <v>84</v>
      </c>
      <c r="N46" s="8" t="s">
        <v>37</v>
      </c>
      <c r="O46" s="8">
        <v>3.0</v>
      </c>
      <c r="P46" s="8" t="s">
        <v>332</v>
      </c>
      <c r="Q46" s="8" t="s">
        <v>333</v>
      </c>
    </row>
    <row r="47" ht="26.25" customHeight="1">
      <c r="A47" s="8" t="s">
        <v>334</v>
      </c>
      <c r="B47" s="8" t="s">
        <v>328</v>
      </c>
      <c r="C47" s="8" t="s">
        <v>329</v>
      </c>
      <c r="D47" s="8" t="s">
        <v>57</v>
      </c>
      <c r="E47" s="8">
        <v>1.0</v>
      </c>
      <c r="F47" s="8" t="s">
        <v>335</v>
      </c>
      <c r="G47" s="8" t="s">
        <v>25</v>
      </c>
      <c r="H47" s="8" t="s">
        <v>19</v>
      </c>
      <c r="I47" s="8" t="s">
        <v>80</v>
      </c>
      <c r="J47" s="8" t="s">
        <v>215</v>
      </c>
      <c r="K47" s="8" t="s">
        <v>336</v>
      </c>
      <c r="L47" s="8" t="s">
        <v>327</v>
      </c>
      <c r="M47" s="8" t="s">
        <v>84</v>
      </c>
      <c r="N47" s="8" t="s">
        <v>37</v>
      </c>
      <c r="O47" s="8">
        <v>2.0</v>
      </c>
      <c r="P47" s="8" t="s">
        <v>332</v>
      </c>
      <c r="Q47" s="8" t="s">
        <v>337</v>
      </c>
    </row>
    <row r="48" ht="26.25" customHeight="1">
      <c r="A48" s="8" t="s">
        <v>338</v>
      </c>
      <c r="B48" s="8" t="s">
        <v>328</v>
      </c>
      <c r="C48" s="8" t="s">
        <v>329</v>
      </c>
      <c r="D48" s="8" t="s">
        <v>57</v>
      </c>
      <c r="E48" s="8">
        <v>1.0</v>
      </c>
      <c r="F48" s="8" t="s">
        <v>339</v>
      </c>
      <c r="G48" s="8" t="s">
        <v>19</v>
      </c>
      <c r="H48" s="8" t="s">
        <v>25</v>
      </c>
      <c r="I48" s="8" t="s">
        <v>96</v>
      </c>
      <c r="J48" s="8" t="s">
        <v>340</v>
      </c>
      <c r="K48" s="8" t="s">
        <v>341</v>
      </c>
      <c r="L48" s="8" t="s">
        <v>342</v>
      </c>
      <c r="M48" s="8" t="s">
        <v>141</v>
      </c>
      <c r="N48" s="8" t="s">
        <v>37</v>
      </c>
      <c r="O48" s="8">
        <v>3.0</v>
      </c>
      <c r="P48" s="8" t="s">
        <v>332</v>
      </c>
      <c r="Q48" s="8" t="s">
        <v>343</v>
      </c>
    </row>
    <row r="49" ht="26.25" customHeight="1">
      <c r="A49" s="8" t="s">
        <v>344</v>
      </c>
      <c r="B49" s="8" t="s">
        <v>328</v>
      </c>
      <c r="C49" s="8" t="s">
        <v>345</v>
      </c>
      <c r="D49" s="8" t="s">
        <v>35</v>
      </c>
      <c r="E49" s="8">
        <v>2.0</v>
      </c>
      <c r="F49" s="8" t="s">
        <v>346</v>
      </c>
      <c r="G49" s="8" t="s">
        <v>21</v>
      </c>
      <c r="H49" s="8" t="s">
        <v>25</v>
      </c>
      <c r="I49" s="8" t="s">
        <v>96</v>
      </c>
      <c r="J49" s="8" t="s">
        <v>347</v>
      </c>
      <c r="K49" s="8" t="s">
        <v>348</v>
      </c>
      <c r="L49" s="8" t="s">
        <v>349</v>
      </c>
      <c r="M49" s="8" t="s">
        <v>141</v>
      </c>
      <c r="N49" s="8" t="s">
        <v>37</v>
      </c>
      <c r="O49" s="8">
        <v>4.0</v>
      </c>
      <c r="P49" s="8" t="s">
        <v>332</v>
      </c>
      <c r="Q49" s="8" t="s">
        <v>350</v>
      </c>
    </row>
    <row r="50" ht="26.25" customHeight="1">
      <c r="A50" s="8" t="s">
        <v>351</v>
      </c>
      <c r="B50" s="8" t="s">
        <v>328</v>
      </c>
      <c r="C50" s="8" t="s">
        <v>352</v>
      </c>
      <c r="D50" s="8" t="s">
        <v>35</v>
      </c>
      <c r="E50" s="8">
        <v>2.0</v>
      </c>
      <c r="F50" s="8" t="s">
        <v>353</v>
      </c>
      <c r="G50" s="8" t="s">
        <v>21</v>
      </c>
      <c r="H50" s="8" t="s">
        <v>23</v>
      </c>
      <c r="I50" s="8" t="s">
        <v>96</v>
      </c>
      <c r="J50" s="8" t="s">
        <v>354</v>
      </c>
      <c r="K50" s="8" t="s">
        <v>355</v>
      </c>
      <c r="L50" s="8" t="s">
        <v>356</v>
      </c>
      <c r="M50" s="8" t="s">
        <v>357</v>
      </c>
      <c r="N50" s="8" t="s">
        <v>37</v>
      </c>
      <c r="O50" s="8">
        <v>4.0</v>
      </c>
      <c r="P50" s="8" t="s">
        <v>332</v>
      </c>
      <c r="Q50" s="8" t="s">
        <v>358</v>
      </c>
    </row>
    <row r="51" ht="26.25" customHeight="1">
      <c r="A51" s="8" t="s">
        <v>359</v>
      </c>
      <c r="B51" s="8" t="s">
        <v>328</v>
      </c>
      <c r="C51" s="8" t="s">
        <v>360</v>
      </c>
      <c r="D51" s="8" t="s">
        <v>35</v>
      </c>
      <c r="E51" s="8">
        <v>2.0</v>
      </c>
      <c r="F51" s="8" t="s">
        <v>361</v>
      </c>
      <c r="G51" s="8" t="s">
        <v>25</v>
      </c>
      <c r="H51" s="8" t="s">
        <v>79</v>
      </c>
      <c r="I51" s="8" t="s">
        <v>80</v>
      </c>
      <c r="J51" s="8" t="s">
        <v>362</v>
      </c>
      <c r="K51" s="8" t="s">
        <v>363</v>
      </c>
      <c r="L51" s="8" t="s">
        <v>364</v>
      </c>
      <c r="M51" s="8" t="s">
        <v>84</v>
      </c>
      <c r="N51" s="8" t="s">
        <v>37</v>
      </c>
      <c r="O51" s="8">
        <v>3.0</v>
      </c>
      <c r="P51" s="8" t="s">
        <v>332</v>
      </c>
      <c r="Q51" s="8" t="s">
        <v>365</v>
      </c>
    </row>
    <row r="52" ht="26.25" customHeight="1">
      <c r="A52" s="8" t="s">
        <v>366</v>
      </c>
      <c r="B52" s="8" t="s">
        <v>328</v>
      </c>
      <c r="C52" s="8" t="s">
        <v>367</v>
      </c>
      <c r="D52" s="8" t="s">
        <v>35</v>
      </c>
      <c r="E52" s="8">
        <v>2.0</v>
      </c>
      <c r="F52" s="8" t="s">
        <v>368</v>
      </c>
      <c r="G52" s="8" t="s">
        <v>19</v>
      </c>
      <c r="H52" s="8" t="s">
        <v>79</v>
      </c>
      <c r="I52" s="8" t="s">
        <v>80</v>
      </c>
      <c r="J52" s="8" t="s">
        <v>369</v>
      </c>
      <c r="K52" s="8" t="s">
        <v>370</v>
      </c>
      <c r="L52" s="8" t="s">
        <v>359</v>
      </c>
      <c r="M52" s="8" t="s">
        <v>84</v>
      </c>
      <c r="N52" s="8" t="s">
        <v>37</v>
      </c>
      <c r="O52" s="8">
        <v>2.0</v>
      </c>
      <c r="P52" s="8" t="s">
        <v>332</v>
      </c>
      <c r="Q52" s="8" t="s">
        <v>371</v>
      </c>
    </row>
    <row r="53" ht="26.25" customHeight="1">
      <c r="A53" s="8" t="s">
        <v>372</v>
      </c>
      <c r="B53" s="8" t="s">
        <v>328</v>
      </c>
      <c r="C53" s="8" t="s">
        <v>373</v>
      </c>
      <c r="D53" s="8" t="s">
        <v>60</v>
      </c>
      <c r="E53" s="8">
        <v>2.0</v>
      </c>
      <c r="F53" s="8" t="s">
        <v>374</v>
      </c>
      <c r="G53" s="8" t="s">
        <v>21</v>
      </c>
      <c r="H53" s="8" t="s">
        <v>79</v>
      </c>
      <c r="I53" s="8" t="s">
        <v>80</v>
      </c>
      <c r="J53" s="8" t="s">
        <v>375</v>
      </c>
      <c r="K53" s="8" t="s">
        <v>376</v>
      </c>
      <c r="L53" s="8" t="s">
        <v>359</v>
      </c>
      <c r="M53" s="8" t="s">
        <v>84</v>
      </c>
      <c r="N53" s="8" t="s">
        <v>37</v>
      </c>
      <c r="O53" s="8">
        <v>3.0</v>
      </c>
      <c r="P53" s="8" t="s">
        <v>332</v>
      </c>
      <c r="Q53" s="8" t="s">
        <v>377</v>
      </c>
    </row>
    <row r="54" ht="26.25" customHeight="1">
      <c r="A54" s="8" t="s">
        <v>378</v>
      </c>
      <c r="B54" s="8" t="s">
        <v>328</v>
      </c>
      <c r="C54" s="8" t="s">
        <v>373</v>
      </c>
      <c r="D54" s="8" t="s">
        <v>60</v>
      </c>
      <c r="E54" s="8">
        <v>2.0</v>
      </c>
      <c r="F54" s="8" t="s">
        <v>379</v>
      </c>
      <c r="G54" s="8" t="s">
        <v>23</v>
      </c>
      <c r="H54" s="8" t="s">
        <v>79</v>
      </c>
      <c r="I54" s="8" t="s">
        <v>80</v>
      </c>
      <c r="J54" s="8" t="s">
        <v>380</v>
      </c>
      <c r="K54" s="8" t="s">
        <v>381</v>
      </c>
      <c r="L54" s="8" t="s">
        <v>372</v>
      </c>
      <c r="M54" s="8" t="s">
        <v>84</v>
      </c>
      <c r="N54" s="8" t="s">
        <v>37</v>
      </c>
      <c r="O54" s="8">
        <v>2.0</v>
      </c>
      <c r="P54" s="8" t="s">
        <v>332</v>
      </c>
      <c r="Q54" s="8" t="s">
        <v>382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N2:N54">
    <cfRule type="expression" dxfId="4" priority="1">
      <formula>N2="Completada"</formula>
    </cfRule>
  </conditionalFormatting>
  <conditionalFormatting sqref="N2:N54">
    <cfRule type="expression" dxfId="5" priority="2">
      <formula>N2="Bloqueada"</formula>
    </cfRule>
  </conditionalFormatting>
  <conditionalFormatting sqref="M2:M54">
    <cfRule type="expression" dxfId="6" priority="3">
      <formula>M2="Alta"</formula>
    </cfRule>
  </conditionalFormatting>
  <dataValidations>
    <dataValidation type="list" allowBlank="1" sqref="I2:I54">
      <formula1>Listas!$D$2:$D$6</formula1>
    </dataValidation>
    <dataValidation type="list" allowBlank="1" sqref="N2:N54">
      <formula1>Listas!$B$2:$B$6</formula1>
    </dataValidation>
    <dataValidation type="list" allowBlank="1" sqref="M2:M54">
      <formula1>Listas!$C$2:$C$4</formula1>
    </dataValidation>
    <dataValidation type="list" allowBlank="1" sqref="B2:B54">
      <formula1>Listas!$E$2:$E$5</formula1>
    </dataValidation>
    <dataValidation type="list" allowBlank="1" sqref="G2:G54">
      <formula1>Listas!$A$2:$A$5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3.75"/>
    <col customWidth="1" min="2" max="2" width="5.0"/>
    <col customWidth="1" min="3" max="3" width="9.25"/>
    <col customWidth="1" min="4" max="4" width="5.38"/>
    <col customWidth="1" min="5" max="5" width="4.0"/>
    <col customWidth="1" min="6" max="6" width="58.75"/>
    <col customWidth="1" min="7" max="7" width="41.63"/>
    <col customWidth="1" min="8" max="26" width="8.63"/>
  </cols>
  <sheetData>
    <row r="1">
      <c r="A1" s="7" t="s">
        <v>383</v>
      </c>
      <c r="B1" s="7" t="s">
        <v>19</v>
      </c>
      <c r="C1" s="7" t="s">
        <v>21</v>
      </c>
      <c r="D1" s="7" t="s">
        <v>23</v>
      </c>
      <c r="E1" s="7" t="s">
        <v>25</v>
      </c>
      <c r="F1" s="7" t="s">
        <v>384</v>
      </c>
      <c r="G1" s="7" t="s">
        <v>385</v>
      </c>
    </row>
    <row r="2">
      <c r="A2" s="8" t="s">
        <v>35</v>
      </c>
      <c r="B2" s="8" t="s">
        <v>386</v>
      </c>
      <c r="C2" s="8" t="s">
        <v>386</v>
      </c>
      <c r="D2" s="8" t="s">
        <v>386</v>
      </c>
      <c r="E2" s="8" t="s">
        <v>80</v>
      </c>
      <c r="F2" s="8" t="s">
        <v>387</v>
      </c>
      <c r="G2" s="8" t="s">
        <v>388</v>
      </c>
    </row>
    <row r="3">
      <c r="A3" s="8" t="s">
        <v>389</v>
      </c>
      <c r="B3" s="8" t="s">
        <v>80</v>
      </c>
      <c r="C3" s="8" t="s">
        <v>386</v>
      </c>
      <c r="D3" s="8" t="s">
        <v>386</v>
      </c>
      <c r="E3" s="8" t="s">
        <v>386</v>
      </c>
      <c r="F3" s="8" t="s">
        <v>390</v>
      </c>
      <c r="G3" s="8" t="s">
        <v>391</v>
      </c>
    </row>
    <row r="4">
      <c r="A4" s="8" t="s">
        <v>392</v>
      </c>
      <c r="B4" s="8" t="s">
        <v>80</v>
      </c>
      <c r="C4" s="8" t="s">
        <v>96</v>
      </c>
      <c r="D4" s="8" t="s">
        <v>386</v>
      </c>
      <c r="E4" s="8" t="s">
        <v>386</v>
      </c>
      <c r="F4" s="8" t="s">
        <v>393</v>
      </c>
      <c r="G4" s="8" t="s">
        <v>394</v>
      </c>
    </row>
    <row r="5">
      <c r="A5" s="8" t="s">
        <v>395</v>
      </c>
      <c r="B5" s="8" t="s">
        <v>386</v>
      </c>
      <c r="C5" s="8" t="s">
        <v>80</v>
      </c>
      <c r="D5" s="8" t="s">
        <v>386</v>
      </c>
      <c r="E5" s="8" t="s">
        <v>386</v>
      </c>
      <c r="F5" s="8" t="s">
        <v>396</v>
      </c>
      <c r="G5" s="8" t="s">
        <v>397</v>
      </c>
    </row>
    <row r="6">
      <c r="A6" s="8" t="s">
        <v>398</v>
      </c>
      <c r="B6" s="8" t="s">
        <v>386</v>
      </c>
      <c r="C6" s="8" t="s">
        <v>386</v>
      </c>
      <c r="D6" s="8" t="s">
        <v>399</v>
      </c>
      <c r="E6" s="8" t="s">
        <v>80</v>
      </c>
      <c r="F6" s="8" t="s">
        <v>400</v>
      </c>
      <c r="G6" s="8" t="s">
        <v>401</v>
      </c>
    </row>
    <row r="7">
      <c r="A7" s="8" t="s">
        <v>402</v>
      </c>
      <c r="B7" s="8" t="s">
        <v>386</v>
      </c>
      <c r="C7" s="8" t="s">
        <v>386</v>
      </c>
      <c r="D7" s="8" t="s">
        <v>399</v>
      </c>
      <c r="E7" s="8" t="s">
        <v>80</v>
      </c>
      <c r="F7" s="8" t="s">
        <v>403</v>
      </c>
      <c r="G7" s="8" t="s">
        <v>404</v>
      </c>
    </row>
    <row r="8">
      <c r="A8" s="8" t="s">
        <v>405</v>
      </c>
      <c r="B8" s="8" t="s">
        <v>96</v>
      </c>
      <c r="C8" s="8" t="s">
        <v>386</v>
      </c>
      <c r="D8" s="8" t="s">
        <v>80</v>
      </c>
      <c r="E8" s="8" t="s">
        <v>386</v>
      </c>
      <c r="F8" s="8" t="s">
        <v>52</v>
      </c>
      <c r="G8" s="8" t="s">
        <v>406</v>
      </c>
    </row>
    <row r="9">
      <c r="A9" s="8" t="s">
        <v>54</v>
      </c>
      <c r="B9" s="8" t="s">
        <v>386</v>
      </c>
      <c r="C9" s="8" t="s">
        <v>96</v>
      </c>
      <c r="D9" s="8" t="s">
        <v>80</v>
      </c>
      <c r="E9" s="8" t="s">
        <v>386</v>
      </c>
      <c r="F9" s="8" t="s">
        <v>407</v>
      </c>
      <c r="G9" s="8" t="s">
        <v>408</v>
      </c>
    </row>
    <row r="10">
      <c r="A10" s="8" t="s">
        <v>329</v>
      </c>
      <c r="B10" s="8" t="s">
        <v>96</v>
      </c>
      <c r="C10" s="8" t="s">
        <v>386</v>
      </c>
      <c r="D10" s="8" t="s">
        <v>386</v>
      </c>
      <c r="E10" s="8" t="s">
        <v>80</v>
      </c>
      <c r="F10" s="8" t="s">
        <v>409</v>
      </c>
      <c r="G10" s="8" t="s">
        <v>410</v>
      </c>
    </row>
    <row r="11">
      <c r="A11" s="8" t="s">
        <v>373</v>
      </c>
      <c r="B11" s="8" t="s">
        <v>386</v>
      </c>
      <c r="C11" s="8" t="s">
        <v>80</v>
      </c>
      <c r="D11" s="8" t="s">
        <v>96</v>
      </c>
      <c r="E11" s="8" t="s">
        <v>386</v>
      </c>
      <c r="F11" s="8" t="s">
        <v>411</v>
      </c>
      <c r="G11" s="8" t="s">
        <v>412</v>
      </c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88"/>
    <col customWidth="1" min="2" max="2" width="6.25"/>
    <col customWidth="1" min="3" max="3" width="11.5"/>
    <col customWidth="1" min="4" max="4" width="13.13"/>
    <col customWidth="1" min="5" max="5" width="14.5"/>
    <col customWidth="1" min="6" max="6" width="15.88"/>
    <col customWidth="1" min="7" max="7" width="10.75"/>
    <col customWidth="1" min="8" max="8" width="11.13"/>
    <col customWidth="1" min="9" max="26" width="35.25"/>
  </cols>
  <sheetData>
    <row r="1">
      <c r="A1" s="7" t="s">
        <v>413</v>
      </c>
      <c r="B1" s="7" t="s">
        <v>30</v>
      </c>
      <c r="C1" s="7" t="s">
        <v>414</v>
      </c>
      <c r="D1" s="7" t="s">
        <v>415</v>
      </c>
      <c r="E1" s="7" t="s">
        <v>416</v>
      </c>
      <c r="F1" s="7" t="s">
        <v>417</v>
      </c>
      <c r="G1" s="7" t="s">
        <v>15</v>
      </c>
      <c r="H1" s="7" t="s">
        <v>33</v>
      </c>
    </row>
    <row r="2">
      <c r="A2" s="8" t="s">
        <v>35</v>
      </c>
      <c r="B2" s="8">
        <v>2.0</v>
      </c>
      <c r="C2" s="8" t="s">
        <v>418</v>
      </c>
      <c r="D2" s="8" t="s">
        <v>418</v>
      </c>
      <c r="E2" s="8" t="s">
        <v>418</v>
      </c>
      <c r="F2" s="8" t="s">
        <v>418</v>
      </c>
      <c r="G2" s="8" t="s">
        <v>25</v>
      </c>
      <c r="H2" s="8" t="s">
        <v>419</v>
      </c>
    </row>
    <row r="3">
      <c r="A3" s="8" t="s">
        <v>39</v>
      </c>
      <c r="B3" s="8">
        <v>2.0</v>
      </c>
      <c r="C3" s="8" t="s">
        <v>418</v>
      </c>
      <c r="D3" s="8" t="s">
        <v>418</v>
      </c>
      <c r="E3" s="8" t="s">
        <v>420</v>
      </c>
      <c r="F3" s="8" t="s">
        <v>418</v>
      </c>
      <c r="G3" s="8" t="s">
        <v>19</v>
      </c>
      <c r="H3" s="8" t="s">
        <v>419</v>
      </c>
    </row>
    <row r="4">
      <c r="A4" s="8" t="s">
        <v>42</v>
      </c>
      <c r="B4" s="8">
        <v>2.0</v>
      </c>
      <c r="C4" s="8" t="s">
        <v>418</v>
      </c>
      <c r="D4" s="8" t="s">
        <v>418</v>
      </c>
      <c r="E4" s="8" t="s">
        <v>420</v>
      </c>
      <c r="F4" s="8" t="s">
        <v>418</v>
      </c>
      <c r="G4" s="8" t="s">
        <v>21</v>
      </c>
      <c r="H4" s="8" t="s">
        <v>419</v>
      </c>
    </row>
    <row r="5">
      <c r="A5" s="8" t="s">
        <v>45</v>
      </c>
      <c r="B5" s="8">
        <v>1.0</v>
      </c>
      <c r="C5" s="8" t="s">
        <v>418</v>
      </c>
      <c r="D5" s="8" t="s">
        <v>418</v>
      </c>
      <c r="E5" s="8" t="s">
        <v>420</v>
      </c>
      <c r="F5" s="8" t="s">
        <v>418</v>
      </c>
      <c r="G5" s="8" t="s">
        <v>25</v>
      </c>
      <c r="H5" s="8" t="s">
        <v>419</v>
      </c>
    </row>
    <row r="6">
      <c r="A6" s="8" t="s">
        <v>48</v>
      </c>
      <c r="B6" s="8">
        <v>1.0</v>
      </c>
      <c r="C6" s="8" t="s">
        <v>418</v>
      </c>
      <c r="D6" s="8" t="s">
        <v>418</v>
      </c>
      <c r="E6" s="8" t="s">
        <v>420</v>
      </c>
      <c r="F6" s="8" t="s">
        <v>418</v>
      </c>
      <c r="G6" s="8" t="s">
        <v>25</v>
      </c>
      <c r="H6" s="8" t="s">
        <v>419</v>
      </c>
    </row>
    <row r="7">
      <c r="A7" s="8" t="s">
        <v>51</v>
      </c>
      <c r="B7" s="8">
        <v>2.0</v>
      </c>
      <c r="C7" s="8" t="s">
        <v>418</v>
      </c>
      <c r="D7" s="8" t="s">
        <v>418</v>
      </c>
      <c r="E7" s="8" t="s">
        <v>420</v>
      </c>
      <c r="F7" s="8" t="s">
        <v>418</v>
      </c>
      <c r="G7" s="8" t="s">
        <v>23</v>
      </c>
      <c r="H7" s="8" t="s">
        <v>419</v>
      </c>
    </row>
    <row r="8">
      <c r="A8" s="8" t="s">
        <v>54</v>
      </c>
      <c r="B8" s="8">
        <v>2.0</v>
      </c>
      <c r="C8" s="8" t="s">
        <v>418</v>
      </c>
      <c r="D8" s="8" t="s">
        <v>418</v>
      </c>
      <c r="E8" s="8" t="s">
        <v>418</v>
      </c>
      <c r="F8" s="8" t="s">
        <v>418</v>
      </c>
      <c r="G8" s="8" t="s">
        <v>23</v>
      </c>
      <c r="H8" s="8" t="s">
        <v>419</v>
      </c>
    </row>
    <row r="9">
      <c r="A9" s="8" t="s">
        <v>57</v>
      </c>
      <c r="B9" s="8">
        <v>1.0</v>
      </c>
      <c r="C9" s="8" t="s">
        <v>420</v>
      </c>
      <c r="D9" s="8" t="s">
        <v>420</v>
      </c>
      <c r="E9" s="8" t="s">
        <v>418</v>
      </c>
      <c r="F9" s="8" t="s">
        <v>418</v>
      </c>
      <c r="G9" s="8" t="s">
        <v>25</v>
      </c>
      <c r="H9" s="8" t="s">
        <v>419</v>
      </c>
    </row>
    <row r="10">
      <c r="A10" s="8" t="s">
        <v>60</v>
      </c>
      <c r="B10" s="8">
        <v>2.0</v>
      </c>
      <c r="C10" s="8" t="s">
        <v>421</v>
      </c>
      <c r="D10" s="8" t="s">
        <v>421</v>
      </c>
      <c r="E10" s="8" t="s">
        <v>421</v>
      </c>
      <c r="F10" s="8" t="s">
        <v>418</v>
      </c>
      <c r="G10" s="8" t="s">
        <v>21</v>
      </c>
      <c r="H10" s="8" t="s">
        <v>419</v>
      </c>
    </row>
  </sheetData>
  <conditionalFormatting sqref="H2:H10">
    <cfRule type="expression" dxfId="5" priority="1">
      <formula>H2="Con brecha"</formula>
    </cfRule>
  </conditionalFormatting>
  <conditionalFormatting sqref="H2:H10">
    <cfRule type="expression" dxfId="4" priority="2">
      <formula>H2="Completado"</formula>
    </cfRule>
  </conditionalFormatting>
  <dataValidations>
    <dataValidation type="list" allowBlank="1" sqref="H2:H10">
      <formula1>"Pendiente,En progreso,Completado,Con brecha"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5"/>
    <col customWidth="1" min="2" max="2" width="81.63"/>
    <col customWidth="1" min="3" max="26" width="8.63"/>
  </cols>
  <sheetData>
    <row r="1">
      <c r="A1" s="9" t="s">
        <v>422</v>
      </c>
      <c r="B1" s="9" t="s">
        <v>4</v>
      </c>
    </row>
    <row r="2">
      <c r="A2" s="2" t="s">
        <v>423</v>
      </c>
      <c r="B2" s="2" t="s">
        <v>424</v>
      </c>
    </row>
    <row r="3">
      <c r="A3" s="2" t="s">
        <v>425</v>
      </c>
      <c r="B3" s="2" t="s">
        <v>426</v>
      </c>
    </row>
    <row r="4">
      <c r="A4" s="2" t="s">
        <v>427</v>
      </c>
      <c r="B4" s="2" t="s">
        <v>428</v>
      </c>
    </row>
    <row r="5">
      <c r="A5" s="2" t="s">
        <v>429</v>
      </c>
      <c r="B5" s="2" t="s">
        <v>430</v>
      </c>
    </row>
    <row r="6">
      <c r="A6" s="2" t="s">
        <v>431</v>
      </c>
      <c r="B6" s="2" t="s">
        <v>432</v>
      </c>
    </row>
    <row r="7">
      <c r="A7" s="2" t="s">
        <v>433</v>
      </c>
      <c r="B7" s="2" t="s">
        <v>434</v>
      </c>
    </row>
    <row r="8">
      <c r="A8" s="2" t="s">
        <v>242</v>
      </c>
      <c r="B8" s="2" t="s">
        <v>435</v>
      </c>
    </row>
    <row r="9">
      <c r="A9" s="2" t="s">
        <v>263</v>
      </c>
      <c r="B9" s="2" t="s">
        <v>436</v>
      </c>
    </row>
    <row r="10">
      <c r="A10" s="2" t="s">
        <v>437</v>
      </c>
      <c r="B10" s="2" t="s">
        <v>438</v>
      </c>
    </row>
    <row r="11">
      <c r="A11" s="2" t="s">
        <v>439</v>
      </c>
      <c r="B11" s="2" t="s">
        <v>440</v>
      </c>
    </row>
    <row r="12">
      <c r="A12" s="2" t="s">
        <v>329</v>
      </c>
      <c r="B12" s="2" t="s">
        <v>441</v>
      </c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38"/>
    <col customWidth="1" min="2" max="2" width="10.13"/>
    <col customWidth="1" min="3" max="3" width="9.75"/>
    <col customWidth="1" min="4" max="4" width="9.13"/>
    <col customWidth="1" min="5" max="5" width="29.5"/>
    <col customWidth="1" min="6" max="26" width="37.5"/>
  </cols>
  <sheetData>
    <row r="1">
      <c r="A1" s="9" t="s">
        <v>442</v>
      </c>
      <c r="B1" s="9" t="s">
        <v>443</v>
      </c>
      <c r="C1" s="9" t="s">
        <v>444</v>
      </c>
      <c r="D1" s="9" t="s">
        <v>445</v>
      </c>
      <c r="E1" s="9" t="s">
        <v>446</v>
      </c>
    </row>
    <row r="2">
      <c r="A2" s="2" t="s">
        <v>19</v>
      </c>
      <c r="B2" s="2" t="s">
        <v>37</v>
      </c>
      <c r="C2" s="2" t="s">
        <v>84</v>
      </c>
      <c r="D2" s="2" t="s">
        <v>80</v>
      </c>
      <c r="E2" s="2" t="s">
        <v>76</v>
      </c>
    </row>
    <row r="3">
      <c r="A3" s="2" t="s">
        <v>21</v>
      </c>
      <c r="B3" s="2" t="s">
        <v>22</v>
      </c>
      <c r="C3" s="2" t="s">
        <v>141</v>
      </c>
      <c r="D3" s="2" t="s">
        <v>96</v>
      </c>
      <c r="E3" s="2" t="s">
        <v>113</v>
      </c>
    </row>
    <row r="4">
      <c r="A4" s="2" t="s">
        <v>23</v>
      </c>
      <c r="B4" s="2" t="s">
        <v>447</v>
      </c>
      <c r="C4" s="2" t="s">
        <v>357</v>
      </c>
      <c r="D4" s="2" t="s">
        <v>386</v>
      </c>
      <c r="E4" s="2" t="s">
        <v>220</v>
      </c>
    </row>
    <row r="5">
      <c r="A5" s="2" t="s">
        <v>25</v>
      </c>
      <c r="B5" s="2" t="s">
        <v>448</v>
      </c>
      <c r="C5" s="2"/>
      <c r="D5" s="2" t="s">
        <v>399</v>
      </c>
      <c r="E5" s="2" t="s">
        <v>328</v>
      </c>
    </row>
    <row r="6">
      <c r="A6" s="2"/>
      <c r="B6" s="2" t="s">
        <v>449</v>
      </c>
      <c r="C6" s="2"/>
      <c r="D6" s="2" t="s">
        <v>450</v>
      </c>
      <c r="E6" s="2"/>
    </row>
  </sheetData>
  <printOptions/>
  <pageMargins bottom="0.75" footer="0.0" header="0.0" left="0.7" right="0.7" top="0.75"/>
  <pageSetup orientation="landscape"/>
  <drawing r:id="rId1"/>
</worksheet>
</file>